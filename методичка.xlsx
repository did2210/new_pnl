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итог" sheetId="8" r:id="rId1"/>
    <sheet name="Лист1" sheetId="1" r:id="rId2"/>
    <sheet name="Лист2" sheetId="9" r:id="rId3"/>
    <sheet name="ecp data" sheetId="2" r:id="rId4"/>
    <sheet name="себес" sheetId="3" r:id="rId5"/>
    <sheet name="sales" sheetId="4" r:id="rId6"/>
    <sheet name="цм" sheetId="5" r:id="rId7"/>
    <sheet name="в цене" sheetId="6" r:id="rId8"/>
    <sheet name="вне цены" sheetId="7" r:id="rId9"/>
  </sheets>
  <definedNames>
    <definedName name="_xlnm._FilterDatabase" localSheetId="1" hidden="1">Лист1!$A$1:$E$115</definedName>
    <definedName name="_xlnm._FilterDatabase" localSheetId="2" hidden="1">Лист2!$D$1:$H$53</definedName>
    <definedName name="ExternalData_1" localSheetId="3" hidden="1">'ecp data'!$A$1:$A$22</definedName>
    <definedName name="ExternalData_1" localSheetId="5" hidden="1">sales!$A$1:$A$17</definedName>
    <definedName name="ExternalData_1" localSheetId="7" hidden="1">'в цене'!$A$1:$A$20</definedName>
    <definedName name="ExternalData_1" localSheetId="8" hidden="1">'вне цены'!$A$1:$A$18</definedName>
    <definedName name="ExternalData_1" localSheetId="0" hidden="1">итог!$A$1:$A$123</definedName>
    <definedName name="ExternalData_1" localSheetId="4" hidden="1">себес!$A$1:$A$21</definedName>
    <definedName name="ExternalData_1" localSheetId="6" hidden="1">цм!$A$1:$A$20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8" i="1" l="1"/>
  <c r="E117" i="1"/>
  <c r="E116" i="1"/>
  <c r="B113" i="8"/>
  <c r="B114" i="8"/>
  <c r="B115" i="8"/>
  <c r="B116" i="8"/>
  <c r="B117" i="8"/>
  <c r="B118" i="8"/>
  <c r="B119" i="8"/>
  <c r="B120" i="8"/>
  <c r="B121" i="8"/>
  <c r="B122" i="8"/>
  <c r="B123" i="8"/>
  <c r="C113" i="8"/>
  <c r="C114" i="8"/>
  <c r="C115" i="8"/>
  <c r="C116" i="8"/>
  <c r="C117" i="8"/>
  <c r="C118" i="8"/>
  <c r="C119" i="8"/>
  <c r="C120" i="8"/>
  <c r="C121" i="8"/>
  <c r="C122" i="8"/>
  <c r="C123" i="8"/>
  <c r="D113" i="8"/>
  <c r="D114" i="8"/>
  <c r="D115" i="8"/>
  <c r="D116" i="8"/>
  <c r="D117" i="8"/>
  <c r="D118" i="8"/>
  <c r="D119" i="8"/>
  <c r="D120" i="8"/>
  <c r="D121" i="8"/>
  <c r="D122" i="8"/>
  <c r="D123" i="8"/>
  <c r="E113" i="8"/>
  <c r="E114" i="8"/>
  <c r="E115" i="8"/>
  <c r="E116" i="8"/>
  <c r="E117" i="8"/>
  <c r="E118" i="8"/>
  <c r="E119" i="8"/>
  <c r="E120" i="8"/>
  <c r="E121" i="8"/>
  <c r="E122" i="8"/>
  <c r="E123" i="8"/>
  <c r="E113" i="1"/>
  <c r="E115" i="1"/>
  <c r="E114" i="1"/>
  <c r="E112" i="1"/>
  <c r="E109" i="1"/>
  <c r="E108" i="1"/>
  <c r="E103" i="1"/>
  <c r="E100" i="1"/>
  <c r="E96" i="1"/>
  <c r="E99" i="1" l="1"/>
  <c r="E111" i="1"/>
  <c r="E102" i="1"/>
  <c r="E90" i="1"/>
  <c r="E59" i="1"/>
  <c r="E58" i="1"/>
  <c r="E57" i="1"/>
  <c r="B102" i="8"/>
  <c r="B103" i="8"/>
  <c r="B104" i="8"/>
  <c r="B105" i="8"/>
  <c r="B106" i="8"/>
  <c r="B107" i="8"/>
  <c r="B108" i="8"/>
  <c r="B109" i="8"/>
  <c r="B110" i="8"/>
  <c r="B111" i="8"/>
  <c r="B112" i="8"/>
  <c r="C102" i="8"/>
  <c r="C103" i="8"/>
  <c r="C104" i="8"/>
  <c r="C105" i="8"/>
  <c r="C106" i="8"/>
  <c r="C107" i="8"/>
  <c r="C108" i="8"/>
  <c r="C109" i="8"/>
  <c r="C110" i="8"/>
  <c r="C111" i="8"/>
  <c r="C112" i="8"/>
  <c r="D102" i="8"/>
  <c r="D103" i="8"/>
  <c r="D104" i="8"/>
  <c r="D105" i="8"/>
  <c r="D106" i="8"/>
  <c r="D107" i="8"/>
  <c r="D108" i="8"/>
  <c r="D109" i="8"/>
  <c r="D110" i="8"/>
  <c r="D111" i="8"/>
  <c r="D112" i="8"/>
  <c r="E104" i="8"/>
  <c r="E105" i="8"/>
  <c r="E109" i="8"/>
  <c r="E112" i="8"/>
  <c r="E101" i="8" l="1"/>
  <c r="C101" i="8"/>
  <c r="D101" i="8"/>
  <c r="E104" i="1" l="1"/>
  <c r="E96" i="8" s="1"/>
  <c r="E106" i="1"/>
  <c r="E98" i="8" s="1"/>
  <c r="E105" i="1"/>
  <c r="E101" i="1"/>
  <c r="E90" i="8"/>
  <c r="E98" i="1"/>
  <c r="E97" i="1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E92" i="8" l="1"/>
  <c r="E110" i="8"/>
  <c r="E97" i="8"/>
  <c r="E111" i="8"/>
  <c r="E45" i="1"/>
  <c r="E45" i="8" s="1"/>
  <c r="E46" i="1"/>
  <c r="E46" i="8" s="1"/>
  <c r="E47" i="1"/>
  <c r="E59" i="8" s="1"/>
  <c r="E48" i="1"/>
  <c r="E58" i="8" s="1"/>
  <c r="E49" i="1"/>
  <c r="E50" i="1"/>
  <c r="E51" i="1"/>
  <c r="E52" i="1"/>
  <c r="E53" i="1"/>
  <c r="E54" i="1"/>
  <c r="E55" i="1"/>
  <c r="E56" i="1"/>
  <c r="E60" i="1"/>
  <c r="E61" i="1"/>
  <c r="E62" i="1"/>
  <c r="E63" i="1"/>
  <c r="E64" i="1"/>
  <c r="E65" i="1"/>
  <c r="E66" i="1"/>
  <c r="E67" i="1"/>
  <c r="E68" i="1"/>
  <c r="E69" i="1"/>
  <c r="E70" i="1"/>
  <c r="E72" i="8" s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1" i="1"/>
  <c r="E92" i="1"/>
  <c r="E93" i="1"/>
  <c r="E94" i="1"/>
  <c r="E85" i="8" s="1"/>
  <c r="E95" i="1"/>
  <c r="E44" i="1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2" i="9"/>
  <c r="E63" i="8" l="1"/>
  <c r="E57" i="8"/>
  <c r="E60" i="8"/>
  <c r="E83" i="8"/>
  <c r="E51" i="8"/>
  <c r="E82" i="8"/>
  <c r="E48" i="8"/>
  <c r="E76" i="8"/>
  <c r="E47" i="8"/>
  <c r="E56" i="8"/>
  <c r="E3" i="1"/>
  <c r="E4" i="1"/>
  <c r="E5" i="1"/>
  <c r="E6" i="1"/>
  <c r="E7" i="1"/>
  <c r="E8" i="1"/>
  <c r="E9" i="1"/>
  <c r="E103" i="8" s="1"/>
  <c r="E10" i="1"/>
  <c r="E94" i="8" s="1"/>
  <c r="E11" i="1"/>
  <c r="E95" i="8" s="1"/>
  <c r="E12" i="1"/>
  <c r="E100" i="8" s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107" i="8" s="1"/>
  <c r="E29" i="1"/>
  <c r="E30" i="1"/>
  <c r="E31" i="1"/>
  <c r="E32" i="1"/>
  <c r="E33" i="1"/>
  <c r="E34" i="1"/>
  <c r="E99" i="8" s="1"/>
  <c r="E35" i="1"/>
  <c r="E36" i="1"/>
  <c r="E37" i="1"/>
  <c r="E38" i="1"/>
  <c r="E39" i="1"/>
  <c r="E40" i="1"/>
  <c r="E41" i="1"/>
  <c r="E42" i="1"/>
  <c r="E43" i="1"/>
  <c r="E2" i="1"/>
  <c r="E89" i="8" l="1"/>
  <c r="E102" i="8"/>
  <c r="E91" i="8"/>
  <c r="E108" i="8"/>
  <c r="E88" i="8"/>
  <c r="E106" i="8"/>
  <c r="E44" i="8"/>
  <c r="E93" i="8"/>
  <c r="E84" i="8"/>
  <c r="E73" i="8"/>
  <c r="E52" i="8"/>
  <c r="E71" i="8"/>
  <c r="E86" i="8"/>
  <c r="E77" i="8"/>
  <c r="E70" i="8"/>
  <c r="E78" i="8"/>
  <c r="E66" i="8"/>
  <c r="E67" i="8"/>
  <c r="E49" i="8"/>
  <c r="E80" i="8"/>
  <c r="E50" i="8"/>
  <c r="E65" i="8"/>
  <c r="E64" i="8"/>
  <c r="E79" i="8"/>
  <c r="E62" i="8"/>
  <c r="E68" i="8"/>
  <c r="E74" i="8"/>
  <c r="E75" i="8"/>
  <c r="E61" i="8"/>
  <c r="E69" i="8"/>
  <c r="E53" i="8"/>
  <c r="E81" i="8"/>
  <c r="E55" i="8"/>
  <c r="E54" i="8"/>
  <c r="E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6" i="8"/>
  <c r="E37" i="8"/>
  <c r="E38" i="8"/>
  <c r="E39" i="8"/>
  <c r="E40" i="8"/>
  <c r="E41" i="8"/>
  <c r="E42" i="8"/>
  <c r="E43" i="8"/>
  <c r="E35" i="8"/>
  <c r="D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C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9" i="8"/>
  <c r="B40" i="8"/>
  <c r="B41" i="8"/>
  <c r="B42" i="8"/>
  <c r="B43" i="8"/>
  <c r="J3" i="9" l="1"/>
  <c r="J11" i="9"/>
  <c r="J19" i="9"/>
  <c r="J27" i="9"/>
  <c r="J35" i="9"/>
  <c r="J43" i="9"/>
  <c r="J51" i="9"/>
  <c r="J4" i="9"/>
  <c r="J12" i="9"/>
  <c r="J20" i="9"/>
  <c r="J44" i="9"/>
  <c r="J5" i="9"/>
  <c r="J13" i="9"/>
  <c r="J21" i="9"/>
  <c r="J29" i="9"/>
  <c r="J37" i="9"/>
  <c r="J45" i="9"/>
  <c r="J53" i="9"/>
  <c r="J7" i="9"/>
  <c r="J23" i="9"/>
  <c r="J39" i="9"/>
  <c r="J6" i="9"/>
  <c r="J14" i="9"/>
  <c r="J22" i="9"/>
  <c r="J30" i="9"/>
  <c r="J38" i="9"/>
  <c r="J46" i="9"/>
  <c r="J2" i="9"/>
  <c r="J15" i="9"/>
  <c r="J31" i="9"/>
  <c r="J47" i="9"/>
  <c r="J8" i="9"/>
  <c r="J16" i="9"/>
  <c r="J24" i="9"/>
  <c r="J32" i="9"/>
  <c r="J40" i="9"/>
  <c r="J48" i="9"/>
  <c r="J18" i="9"/>
  <c r="J34" i="9"/>
  <c r="J50" i="9"/>
  <c r="J36" i="9"/>
  <c r="J9" i="9"/>
  <c r="J17" i="9"/>
  <c r="J25" i="9"/>
  <c r="J33" i="9"/>
  <c r="J41" i="9"/>
  <c r="J49" i="9"/>
  <c r="J10" i="9"/>
  <c r="J26" i="9"/>
  <c r="J42" i="9"/>
  <c r="J28" i="9"/>
  <c r="J52" i="9"/>
</calcChain>
</file>

<file path=xl/connections.xml><?xml version="1.0" encoding="utf-8"?>
<connections xmlns="http://schemas.openxmlformats.org/spreadsheetml/2006/main">
  <connection id="1" keepAlive="1" name="Запрос — Append1" description="Соединение с запросом &quot;Append1&quot; в книге." type="5" refreshedVersion="6" background="1" saveData="1">
    <dbPr connection="Provider=Microsoft.Mashup.OleDb.1;Data Source=$Workbook$;Location=Append1;Extended Properties=&quot;&quot;" command="SELECT * FROM [Append1]"/>
  </connection>
  <connection id="2" keepAlive="1" name="Запрос — ecp data" description="Соединение с запросом &quot;ecp data&quot; в книге." type="5" refreshedVersion="6" background="1" saveData="1">
    <dbPr connection="Provider=Microsoft.Mashup.OleDb.1;Data Source=$Workbook$;Location=&quot;ecp data&quot;;Extended Properties=&quot;&quot;" command="SELECT * FROM [ecp data]"/>
  </connection>
  <connection id="3" keepAlive="1" name="Запрос — sales" description="Соединение с запросом &quot;sales&quot; в книге." type="5" refreshedVersion="6" background="1" saveData="1">
    <dbPr connection="Provider=Microsoft.Mashup.OleDb.1;Data Source=$Workbook$;Location=sales;Extended Properties=&quot;&quot;" command="SELECT * FROM [sales]"/>
  </connection>
  <connection id="4" keepAlive="1" name="Запрос — затраты в цене" description="Соединение с запросом &quot;затраты в цене&quot; в книге." type="5" refreshedVersion="6" background="1" saveData="1">
    <dbPr connection="Provider=Microsoft.Mashup.OleDb.1;Data Source=$Workbook$;Location=&quot;затраты в цене&quot;;Extended Properties=&quot;&quot;" command="SELECT * FROM [затраты в цене]"/>
  </connection>
  <connection id="5" keepAlive="1" name="Запрос — затраты вне цены" description="Соединение с запросом &quot;затраты вне цены&quot; в книге." type="5" refreshedVersion="6" background="1">
    <dbPr connection="Provider=Microsoft.Mashup.OleDb.1;Data Source=$Workbook$;Location=&quot;затраты вне цены&quot;;Extended Properties=&quot;&quot;" command="SELECT * FROM [затраты вне цены]"/>
  </connection>
  <connection id="6" keepAlive="1" name="Запрос — себес" description="Соединение с запросом &quot;себес&quot; в книге." type="5" refreshedVersion="6" background="1" saveData="1">
    <dbPr connection="Provider=Microsoft.Mashup.OleDb.1;Data Source=$Workbook$;Location=себес;Extended Properties=&quot;&quot;" command="SELECT * FROM [себес]"/>
  </connection>
  <connection id="7" keepAlive="1" name="Запрос — цм" description="Соединение с запросом &quot;цм&quot; в книге." type="5" refreshedVersion="6" background="1" saveData="1">
    <dbPr connection="Provider=Microsoft.Mashup.OleDb.1;Data Source=$Workbook$;Location=цм;Extended Properties=&quot;&quot;" command="SELECT * FROM [цм]"/>
  </connection>
</connections>
</file>

<file path=xl/sharedStrings.xml><?xml version="1.0" encoding="utf-8"?>
<sst xmlns="http://schemas.openxmlformats.org/spreadsheetml/2006/main" count="834" uniqueCount="126">
  <si>
    <t>sku_type_sap</t>
  </si>
  <si>
    <t>COLA Fresh Bar 0,45 CAN</t>
  </si>
  <si>
    <t>COLA Fresh Bar 0,48 PET</t>
  </si>
  <si>
    <t>COLA Fresh Bar 1,5 PET</t>
  </si>
  <si>
    <t>E-ON 0,25 CAN</t>
  </si>
  <si>
    <t>E-ON 0,45 CAN</t>
  </si>
  <si>
    <t>E-ON BCAA 0,45 CAN</t>
  </si>
  <si>
    <t>Fresh Bar 0,45 CAN</t>
  </si>
  <si>
    <t>Fresh Bar 0,48 PET</t>
  </si>
  <si>
    <t>Fresh Bar 1,5 PET</t>
  </si>
  <si>
    <t>Tornado 0,45 CAN</t>
  </si>
  <si>
    <t>Tornado 0,473 PET</t>
  </si>
  <si>
    <t>Tornado 1,0 PET</t>
  </si>
  <si>
    <t>ИЛ 0,45 CAN</t>
  </si>
  <si>
    <t>ИЛ 0,48 PET</t>
  </si>
  <si>
    <t>ИЛ 1,42 PET</t>
  </si>
  <si>
    <t>Tornado MAX 0,45 CAN</t>
  </si>
  <si>
    <t>Tornado MAX 0,473 PET</t>
  </si>
  <si>
    <t>Tornado сахар 0,45 CAN</t>
  </si>
  <si>
    <t>Tornado сахар 0,473 PET</t>
  </si>
  <si>
    <t>Fresh Bar 1,0 PET</t>
  </si>
  <si>
    <t>COLA Fresh Bar 1,0 PET</t>
  </si>
  <si>
    <t>FRESH BAR 1,0 PET</t>
  </si>
  <si>
    <t>FRESH BAR COLA 0,45 CAN</t>
  </si>
  <si>
    <t>FRESH BAR COLA 0,48 PET</t>
  </si>
  <si>
    <t>FRESH BAR COLA 1,5 PET</t>
  </si>
  <si>
    <t>Tornado 0,45 CAN MAX</t>
  </si>
  <si>
    <t>Tornado 0,473 PET MAX</t>
  </si>
  <si>
    <t>brand</t>
  </si>
  <si>
    <t>Торнадо ж/б 0,25</t>
  </si>
  <si>
    <t>FB Cola 0,48 PET</t>
  </si>
  <si>
    <t>FB Cola 1,5 PET</t>
  </si>
  <si>
    <t>ИЛ 0,45 ЖБ</t>
  </si>
  <si>
    <t>FB Cola 0,45 CAN</t>
  </si>
  <si>
    <t>Fresh Bar 1л</t>
  </si>
  <si>
    <t>NPI 0,45 PET</t>
  </si>
  <si>
    <t>Tornado 0,45 MAX CAN</t>
  </si>
  <si>
    <t>Tornado 0,473 MAX PET</t>
  </si>
  <si>
    <t>Tornado 0,33 CAN Только для КИБа</t>
  </si>
  <si>
    <t>E-On 0,45 CAN</t>
  </si>
  <si>
    <t>FB Cola 1,5</t>
  </si>
  <si>
    <t>FB Cola 0,45 Can</t>
  </si>
  <si>
    <t>Tornado 0,45 CAN max</t>
  </si>
  <si>
    <t>Tornado 0,473 PET max</t>
  </si>
  <si>
    <t>itog</t>
  </si>
  <si>
    <t>COLA BY FRESH BAR</t>
  </si>
  <si>
    <t>LITRAG</t>
  </si>
  <si>
    <t>ФОРМАТ</t>
  </si>
  <si>
    <t>CAN</t>
  </si>
  <si>
    <t>PET</t>
  </si>
  <si>
    <t>FRESH BAR</t>
  </si>
  <si>
    <t>TORNADO</t>
  </si>
  <si>
    <t>ИЛ</t>
  </si>
  <si>
    <t>TORNADO MAX</t>
  </si>
  <si>
    <t>NPI</t>
  </si>
  <si>
    <t>E-ON</t>
  </si>
  <si>
    <t>Продукт</t>
  </si>
  <si>
    <t>Торнадо 0,45 жб</t>
  </si>
  <si>
    <t>Торнадо 1,0</t>
  </si>
  <si>
    <t>ИЛ 0,48</t>
  </si>
  <si>
    <t>ИЛ 1,42</t>
  </si>
  <si>
    <t>Торнадо 0,48</t>
  </si>
  <si>
    <t>Fresh Bar COLA 0,45 жб</t>
  </si>
  <si>
    <t>Fresh Bar 0,45 жб</t>
  </si>
  <si>
    <t>Fresh Bar 0,48</t>
  </si>
  <si>
    <t>Fresh Bar COLA 0,48</t>
  </si>
  <si>
    <t xml:space="preserve">ИЛ 1,42 </t>
  </si>
  <si>
    <t>Fresh Bar 1,5</t>
  </si>
  <si>
    <t>Fresh Bar 0,48 жб</t>
  </si>
  <si>
    <t>Fresh Bar 0,48 жб COLA</t>
  </si>
  <si>
    <t>Fresh Bar 0,45 жб COLA</t>
  </si>
  <si>
    <t>Торнадо 0,45жб</t>
  </si>
  <si>
    <t>Fresh Bar COLA 1,5</t>
  </si>
  <si>
    <t>E-ON 0,5</t>
  </si>
  <si>
    <t xml:space="preserve">Fresh Bar COLA 0,48 </t>
  </si>
  <si>
    <t xml:space="preserve">ИЛ 0,48 </t>
  </si>
  <si>
    <t>Fresh Bar 0,48 COLA</t>
  </si>
  <si>
    <t>Tornado 0,45 жб</t>
  </si>
  <si>
    <t>Fresh Bar 1,5 COLA</t>
  </si>
  <si>
    <t>Fresh Bar 1,42</t>
  </si>
  <si>
    <t xml:space="preserve">Tornado 1,0 </t>
  </si>
  <si>
    <t xml:space="preserve">Fresh Bar 1,5 </t>
  </si>
  <si>
    <t>Tornado 0,48</t>
  </si>
  <si>
    <t xml:space="preserve">Fresh Bar 0,48 </t>
  </si>
  <si>
    <t>Торнадо 0,5 жб</t>
  </si>
  <si>
    <t>Fresh Bar КОЛА 0,45 жб</t>
  </si>
  <si>
    <t>Fresh Bar КОЛА 0,48</t>
  </si>
  <si>
    <t xml:space="preserve">Fresh Bar 0,45 жб </t>
  </si>
  <si>
    <t xml:space="preserve">Fresh Bar COLA 0,45 жб </t>
  </si>
  <si>
    <t>Fresh Bar 0,45 COLA жб</t>
  </si>
  <si>
    <t>Freh Bar 1,5 Cola</t>
  </si>
  <si>
    <t>Freh Bar 0,48 Cola</t>
  </si>
  <si>
    <t>Торнадо 0,45 жб САХАР</t>
  </si>
  <si>
    <t>Tornado 0,45жб</t>
  </si>
  <si>
    <t>БРЕНД</t>
  </si>
  <si>
    <t>ЛИТРАЖ</t>
  </si>
  <si>
    <t xml:space="preserve"> </t>
  </si>
  <si>
    <t>E-ON 0,5 PET</t>
  </si>
  <si>
    <t>COLA BY FRESH BAR 0,48 PET</t>
  </si>
  <si>
    <t>COLA BY FRESH BAR 1,5 PET</t>
  </si>
  <si>
    <t>COLA BY FRESH BAR 0,45 CAN</t>
  </si>
  <si>
    <t>FRESH BAR 0,45 CAN</t>
  </si>
  <si>
    <t>FRESH BAR 0,48 PET</t>
  </si>
  <si>
    <t>FRESH BAR 1,5 PET</t>
  </si>
  <si>
    <t>TORNADO 0,45 CAN</t>
  </si>
  <si>
    <t>TORNADO 1 PET</t>
  </si>
  <si>
    <t>TORNADO MAX 0,473 PET</t>
  </si>
  <si>
    <t>TORNADO MAX 0,45 CAN</t>
  </si>
  <si>
    <t>FRESH BAR 1 PET</t>
  </si>
  <si>
    <t>Tornado 0,33 CAN</t>
  </si>
  <si>
    <t>Tornado MAX 0,33 CAN</t>
  </si>
  <si>
    <t>Fresh Bar 1,5л</t>
  </si>
  <si>
    <t>Cola by FB 0,48 PET</t>
  </si>
  <si>
    <t>Cola by 1,5 PET</t>
  </si>
  <si>
    <t>Cola by FB 0,45 CAN</t>
  </si>
  <si>
    <t>Cola by FB 1,5 PET</t>
  </si>
  <si>
    <t>TORNADO MAX 0,33 CAN</t>
  </si>
  <si>
    <t>Fresh BAR 1.0л</t>
  </si>
  <si>
    <t>Fresh BAR 1.5л</t>
  </si>
  <si>
    <t>Торнадо 0,33 CAN</t>
  </si>
  <si>
    <t>COLA by FB 0,48 PET</t>
  </si>
  <si>
    <t>COLA by FB 0,45 CAN</t>
  </si>
  <si>
    <t>COLA by FB 1.5л</t>
  </si>
  <si>
    <t>Торнадо 0,45 CAN
высокий сахар</t>
  </si>
  <si>
    <t>Торнадо 0,473  PET
высокий сахар</t>
  </si>
  <si>
    <t>Торнадо MAX 1л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</si>
</sst>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indexed="49"/>
      </patternFill>
    </fill>
  </fills>
  <borders count="4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</borders>
  <cellStyleXfs count="2">
    <xf numFmtId="0" fontId="0" fillId="0" borderId="0"/>
    <xf numFmtId="4" fontId="2" fillId="3" borderId="3" applyNumberFormat="0" applyProtection="0">
      <alignment horizontal="left" vertical="center" indent="1"/>
    </xf>
  </cellStyleXfs>
  <cellXfs count="6">
    <xf numFmtId="0" fontId="0" fillId="0" borderId="0" xfId="0"/>
    <xf numFmtId="0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164" fontId="0" fillId="0" borderId="0" xfId="0" applyNumberFormat="1"/>
    <xf numFmtId="0" fontId="0" fillId="0" borderId="0" xfId="0" applyNumberFormat="1" applyAlignment="1">
      <alignment wrapText="1"/>
    </xf>
  </cellXfs>
  <cellStyles count="2">
    <cellStyle name="SAPBEXstdItem" xfId="1"/>
    <cellStyle name="Обычный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6" unboundColumnsRight="4">
    <queryTableFields count="5">
      <queryTableField id="1" name="sku_type_sap" tableColumnId="7"/>
      <queryTableField id="4" dataBound="0" tableColumnId="8"/>
      <queryTableField id="3" dataBound="0" tableColumnId="9"/>
      <queryTableField id="2" dataBound="0" tableColumnId="10"/>
      <queryTableField id="5" dataBound="0" tableColumnId="11"/>
    </queryTableFields>
  </queryTableRefresh>
</queryTable>
</file>

<file path=xl/queryTables/queryTable2.xml><?xml version="1.0" encoding="utf-8"?>
<queryTable xmlns="http://schemas.openxmlformats.org/spreadsheetml/2006/main" name="ExternalData_1" connectionId="2" autoFormatId="0" applyNumberFormats="0" applyBorderFormats="0" applyFontFormats="1" applyPatternFormats="1" applyAlignmentFormats="0" applyWidthHeightFormats="0">
  <queryTableRefresh preserveSortFilterLayout="0" nextId="2">
    <queryTableFields count="1">
      <queryTableField id="1" name="sku_type_sap" tableColumnId="3"/>
    </queryTableFields>
  </queryTableRefresh>
</queryTable>
</file>

<file path=xl/queryTables/queryTable3.xml><?xml version="1.0" encoding="utf-8"?>
<queryTable xmlns="http://schemas.openxmlformats.org/spreadsheetml/2006/main" name="ExternalData_1" connectionId="6" autoFormatId="0" applyNumberFormats="0" applyBorderFormats="0" applyFontFormats="1" applyPatternFormats="1" applyAlignmentFormats="0" applyWidthHeightFormats="0">
  <queryTableRefresh preserveSortFilterLayout="0" nextId="2">
    <queryTableFields count="1">
      <queryTableField id="1" name="sku_type_sap" tableColumnId="3"/>
    </queryTableFields>
  </queryTableRefresh>
</queryTable>
</file>

<file path=xl/queryTables/queryTable4.xml><?xml version="1.0" encoding="utf-8"?>
<queryTable xmlns="http://schemas.openxmlformats.org/spreadsheetml/2006/main" name="ExternalData_1" connectionId="3" autoFormatId="0" applyNumberFormats="0" applyBorderFormats="0" applyFontFormats="1" applyPatternFormats="1" applyAlignmentFormats="0" applyWidthHeightFormats="0">
  <queryTableRefresh preserveSortFilterLayout="0" nextId="2">
    <queryTableFields count="1">
      <queryTableField id="1" name="sku_type_sap" tableColumnId="4"/>
    </queryTableFields>
  </queryTableRefresh>
</queryTable>
</file>

<file path=xl/queryTables/queryTable5.xml><?xml version="1.0" encoding="utf-8"?>
<queryTable xmlns="http://schemas.openxmlformats.org/spreadsheetml/2006/main" name="ExternalData_1" connectionId="7" autoFormatId="0" applyNumberFormats="0" applyBorderFormats="0" applyFontFormats="1" applyPatternFormats="1" applyAlignmentFormats="0" applyWidthHeightFormats="0">
  <queryTableRefresh preserveSortFilterLayout="0" nextId="2">
    <queryTableFields count="1">
      <queryTableField id="1" name="sku_type_sap" tableColumnId="3"/>
    </queryTableFields>
  </queryTableRefresh>
</queryTable>
</file>

<file path=xl/queryTables/queryTable6.xml><?xml version="1.0" encoding="utf-8"?>
<queryTable xmlns="http://schemas.openxmlformats.org/spreadsheetml/2006/main" name="ExternalData_1" connectionId="4" autoFormatId="0" applyNumberFormats="0" applyBorderFormats="0" applyFontFormats="1" applyPatternFormats="1" applyAlignmentFormats="0" applyWidthHeightFormats="0">
  <queryTableRefresh preserveSortFilterLayout="0" nextId="2">
    <queryTableFields count="1">
      <queryTableField id="1" name="sku_type_sap" tableColumnId="4"/>
    </queryTableFields>
  </queryTableRefresh>
</queryTable>
</file>

<file path=xl/queryTables/queryTable7.xml><?xml version="1.0" encoding="utf-8"?>
<queryTable xmlns="http://schemas.openxmlformats.org/spreadsheetml/2006/main" name="ExternalData_1" removeDataOnSave="1" connectionId="5" autoFormatId="0" applyNumberFormats="0" applyBorderFormats="0" applyFontFormats="1" applyPatternFormats="1" applyAlignmentFormats="0" applyWidthHeightFormats="0">
  <queryTableRefresh preserveSortFilterLayout="0" nextId="2">
    <queryTableFields count="1">
      <queryTableField id="1" name="sku_type_sap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id="7" name="Append1" displayName="Append1" ref="A1:E123" tableType="queryTable" totalsRowShown="0">
  <autoFilter ref="A1:E123"/>
  <tableColumns count="5">
    <tableColumn id="7" uniqueName="7" name="sku_type_sap" queryTableFieldId="1" dataDxfId="10"/>
    <tableColumn id="8" uniqueName="8" name="brand" queryTableFieldId="4" dataDxfId="9">
      <calculatedColumnFormula>VLOOKUP(Append1[[#This Row],[sku_type_sap]],Лист1!A:G,2,0)</calculatedColumnFormula>
    </tableColumn>
    <tableColumn id="9" uniqueName="9" name="LITRAG" queryTableFieldId="3" dataDxfId="8">
      <calculatedColumnFormula>VLOOKUP(Append1[[#This Row],[sku_type_sap]],Лист1!A:G,3,0)</calculatedColumnFormula>
    </tableColumn>
    <tableColumn id="10" uniqueName="10" name="ФОРМАТ" queryTableFieldId="2" dataDxfId="7">
      <calculatedColumnFormula>VLOOKUP(Append1[[#This Row],[sku_type_sap]],Лист1!A:G,4,0)</calculatedColumnFormula>
    </tableColumn>
    <tableColumn id="11" uniqueName="11" name="itog" queryTableFieldId="5" dataDxfId="6">
      <calculatedColumnFormula>VLOOKUP(Append1[[#This Row],[sku_type_sap]],Лист1!A:G,5,0)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1" name="ecp_data" displayName="ecp_data" ref="A1:A22" tableType="queryTable" totalsRowShown="0">
  <autoFilter ref="A1:A22"/>
  <tableColumns count="1">
    <tableColumn id="3" uniqueName="3" name="sku_type_sap" queryTableFieldId="1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2" name="себес" displayName="себес" ref="A1:A21" tableType="queryTable" totalsRowShown="0">
  <autoFilter ref="A1:A21"/>
  <tableColumns count="1">
    <tableColumn id="3" uniqueName="3" name="sku_type_sap" queryTableFieldId="1" dataDxf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3" name="sales" displayName="sales" ref="A1:A17" tableType="queryTable" totalsRowShown="0">
  <autoFilter ref="A1:A17"/>
  <tableColumns count="1">
    <tableColumn id="4" uniqueName="4" name="sku_type_sap" queryTableFieldId="1" dataDxf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4" name="цм" displayName="цм" ref="A1:A20" tableType="queryTable" totalsRowShown="0">
  <autoFilter ref="A1:A20"/>
  <tableColumns count="1">
    <tableColumn id="3" uniqueName="3" name="sku_type_sap" queryTableFieldId="1" dataDxf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id="5" name="затраты_в_цене" displayName="затраты_в_цене" ref="A1:A20" tableType="queryTable" totalsRowShown="0">
  <autoFilter ref="A1:A20"/>
  <tableColumns count="1">
    <tableColumn id="4" uniqueName="4" name="sku_type_sap" queryTableFieldId="1" dataDxfId="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id="6" name="затраты_вне_цены" displayName="затраты_вне_цены" ref="A1:A18" tableType="queryTable" totalsRowShown="0">
  <autoFilter ref="A1:A18"/>
  <tableColumns count="1">
    <tableColumn id="4" uniqueName="4" name="sku_type_sap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3"/>
  <sheetViews>
    <sheetView tabSelected="1" topLeftCell="A49" workbookViewId="0">
      <selection activeCell="B126" sqref="B126"/>
    </sheetView>
  </sheetViews>
  <sheetFormatPr defaultRowHeight="15" x14ac:dyDescent="0.25"/>
  <cols>
    <col min="1" max="1" width="33" bestFit="1" customWidth="1"/>
    <col min="2" max="2" width="39.85546875" customWidth="1"/>
    <col min="3" max="3" width="7.85546875" bestFit="1" customWidth="1"/>
    <col min="4" max="4" width="6.7109375" bestFit="1" customWidth="1"/>
    <col min="12" max="12" width="25.5703125" customWidth="1"/>
  </cols>
  <sheetData>
    <row r="1" spans="1:5" x14ac:dyDescent="0.25">
      <c r="A1" s="1" t="s">
        <v>0</v>
      </c>
      <c r="B1" s="3" t="s">
        <v>28</v>
      </c>
      <c r="C1" s="3" t="s">
        <v>46</v>
      </c>
      <c r="D1" s="3" t="s">
        <v>47</v>
      </c>
      <c r="E1" s="2" t="s">
        <v>44</v>
      </c>
    </row>
    <row r="2" spans="1:5" x14ac:dyDescent="0.25">
      <c r="A2" s="1" t="s">
        <v>1</v>
      </c>
      <c r="B2" t="str">
        <f>VLOOKUP(Append1[[#This Row],[sku_type_sap]],Лист1!A:G,2,0)</f>
        <v>COLA BY FRESH BAR</v>
      </c>
      <c r="C2">
        <f>VLOOKUP(Append1[[#This Row],[sku_type_sap]],Лист1!A:G,3,0)</f>
        <v>0.45</v>
      </c>
      <c r="D2" t="str">
        <f>VLOOKUP(Append1[[#This Row],[sku_type_sap]],Лист1!A:G,4,0)</f>
        <v>CAN</v>
      </c>
      <c r="E2" s="1" t="str">
        <f>VLOOKUP(Append1[[#This Row],[sku_type_sap]],Лист1!A:G,5,0)</f>
        <v>COLA BY FRESH BAR 0,45 CAN</v>
      </c>
    </row>
    <row r="3" spans="1:5" x14ac:dyDescent="0.25">
      <c r="A3" s="1" t="s">
        <v>2</v>
      </c>
      <c r="B3" t="str">
        <f>VLOOKUP(Append1[[#This Row],[sku_type_sap]],Лист1!A:G,2,0)</f>
        <v>COLA BY FRESH BAR</v>
      </c>
      <c r="C3">
        <f>VLOOKUP(Append1[[#This Row],[sku_type_sap]],Лист1!A:G,3,0)</f>
        <v>0.48</v>
      </c>
      <c r="D3" t="str">
        <f>VLOOKUP(Append1[[#This Row],[sku_type_sap]],Лист1!A:G,4,0)</f>
        <v>PET</v>
      </c>
      <c r="E3" s="1" t="str">
        <f>VLOOKUP(Append1[[#This Row],[sku_type_sap]],Лист1!A:G,5,0)</f>
        <v>COLA BY FRESH BAR 0,48 PET</v>
      </c>
    </row>
    <row r="4" spans="1:5" x14ac:dyDescent="0.25">
      <c r="A4" s="1" t="s">
        <v>3</v>
      </c>
      <c r="B4" t="str">
        <f>VLOOKUP(Append1[[#This Row],[sku_type_sap]],Лист1!A:G,2,0)</f>
        <v>COLA BY FRESH BAR</v>
      </c>
      <c r="C4">
        <f>VLOOKUP(Append1[[#This Row],[sku_type_sap]],Лист1!A:G,3,0)</f>
        <v>1.5</v>
      </c>
      <c r="D4" t="str">
        <f>VLOOKUP(Append1[[#This Row],[sku_type_sap]],Лист1!A:G,4,0)</f>
        <v>PET</v>
      </c>
      <c r="E4" s="1" t="str">
        <f>VLOOKUP(Append1[[#This Row],[sku_type_sap]],Лист1!A:G,5,0)</f>
        <v>COLA BY FRESH BAR 1,5 PET</v>
      </c>
    </row>
    <row r="5" spans="1:5" x14ac:dyDescent="0.25">
      <c r="A5" s="1" t="s">
        <v>4</v>
      </c>
      <c r="B5" t="str">
        <f>VLOOKUP(Append1[[#This Row],[sku_type_sap]],Лист1!A:G,2,0)</f>
        <v>E-ON</v>
      </c>
      <c r="C5">
        <f>VLOOKUP(Append1[[#This Row],[sku_type_sap]],Лист1!A:G,3,0)</f>
        <v>0.25</v>
      </c>
      <c r="D5" t="str">
        <f>VLOOKUP(Append1[[#This Row],[sku_type_sap]],Лист1!A:G,4,0)</f>
        <v>CAN</v>
      </c>
      <c r="E5" s="1" t="str">
        <f>VLOOKUP(Append1[[#This Row],[sku_type_sap]],Лист1!A:G,5,0)</f>
        <v>E-ON 0,25 CAN</v>
      </c>
    </row>
    <row r="6" spans="1:5" x14ac:dyDescent="0.25">
      <c r="A6" s="1" t="s">
        <v>5</v>
      </c>
      <c r="B6" t="str">
        <f>VLOOKUP(Append1[[#This Row],[sku_type_sap]],Лист1!A:G,2,0)</f>
        <v>E-ON</v>
      </c>
      <c r="C6">
        <f>VLOOKUP(Append1[[#This Row],[sku_type_sap]],Лист1!A:G,3,0)</f>
        <v>0.45</v>
      </c>
      <c r="D6" t="str">
        <f>VLOOKUP(Append1[[#This Row],[sku_type_sap]],Лист1!A:G,4,0)</f>
        <v>CAN</v>
      </c>
      <c r="E6" s="1" t="str">
        <f>VLOOKUP(Append1[[#This Row],[sku_type_sap]],Лист1!A:G,5,0)</f>
        <v>E-ON 0,45 CAN</v>
      </c>
    </row>
    <row r="7" spans="1:5" x14ac:dyDescent="0.25">
      <c r="A7" s="1" t="s">
        <v>6</v>
      </c>
      <c r="B7" t="str">
        <f>VLOOKUP(Append1[[#This Row],[sku_type_sap]],Лист1!A:G,2,0)</f>
        <v>E-ON</v>
      </c>
      <c r="C7">
        <f>VLOOKUP(Append1[[#This Row],[sku_type_sap]],Лист1!A:G,3,0)</f>
        <v>0.45</v>
      </c>
      <c r="D7" t="str">
        <f>VLOOKUP(Append1[[#This Row],[sku_type_sap]],Лист1!A:G,4,0)</f>
        <v>CAN</v>
      </c>
      <c r="E7" s="1" t="str">
        <f>VLOOKUP(Append1[[#This Row],[sku_type_sap]],Лист1!A:G,5,0)</f>
        <v>E-ON 0,45 CAN</v>
      </c>
    </row>
    <row r="8" spans="1:5" x14ac:dyDescent="0.25">
      <c r="A8" s="1" t="s">
        <v>7</v>
      </c>
      <c r="B8" t="str">
        <f>VLOOKUP(Append1[[#This Row],[sku_type_sap]],Лист1!A:G,2,0)</f>
        <v>FRESH BAR</v>
      </c>
      <c r="C8">
        <f>VLOOKUP(Append1[[#This Row],[sku_type_sap]],Лист1!A:G,3,0)</f>
        <v>0.45</v>
      </c>
      <c r="D8" t="str">
        <f>VLOOKUP(Append1[[#This Row],[sku_type_sap]],Лист1!A:G,4,0)</f>
        <v>CAN</v>
      </c>
      <c r="E8" s="1" t="str">
        <f>VLOOKUP(Append1[[#This Row],[sku_type_sap]],Лист1!A:G,5,0)</f>
        <v>FRESH BAR 0,45 CAN</v>
      </c>
    </row>
    <row r="9" spans="1:5" x14ac:dyDescent="0.25">
      <c r="A9" s="1" t="s">
        <v>8</v>
      </c>
      <c r="B9" t="str">
        <f>VLOOKUP(Append1[[#This Row],[sku_type_sap]],Лист1!A:G,2,0)</f>
        <v>FRESH BAR</v>
      </c>
      <c r="C9">
        <f>VLOOKUP(Append1[[#This Row],[sku_type_sap]],Лист1!A:G,3,0)</f>
        <v>0.48</v>
      </c>
      <c r="D9" t="str">
        <f>VLOOKUP(Append1[[#This Row],[sku_type_sap]],Лист1!A:G,4,0)</f>
        <v>PET</v>
      </c>
      <c r="E9" s="1" t="str">
        <f>VLOOKUP(Append1[[#This Row],[sku_type_sap]],Лист1!A:G,5,0)</f>
        <v>FRESH BAR 0,48 PET</v>
      </c>
    </row>
    <row r="10" spans="1:5" x14ac:dyDescent="0.25">
      <c r="A10" s="1" t="s">
        <v>9</v>
      </c>
      <c r="B10" t="str">
        <f>VLOOKUP(Append1[[#This Row],[sku_type_sap]],Лист1!A:G,2,0)</f>
        <v>FRESH BAR</v>
      </c>
      <c r="C10">
        <f>VLOOKUP(Append1[[#This Row],[sku_type_sap]],Лист1!A:G,3,0)</f>
        <v>1.5</v>
      </c>
      <c r="D10" t="str">
        <f>VLOOKUP(Append1[[#This Row],[sku_type_sap]],Лист1!A:G,4,0)</f>
        <v>PET</v>
      </c>
      <c r="E10" s="1" t="str">
        <f>VLOOKUP(Append1[[#This Row],[sku_type_sap]],Лист1!A:G,5,0)</f>
        <v>FRESH BAR 1,5 PET</v>
      </c>
    </row>
    <row r="11" spans="1:5" x14ac:dyDescent="0.25">
      <c r="A11" s="1" t="s">
        <v>10</v>
      </c>
      <c r="B11" t="str">
        <f>VLOOKUP(Append1[[#This Row],[sku_type_sap]],Лист1!A:G,2,0)</f>
        <v>TORNADO</v>
      </c>
      <c r="C11">
        <f>VLOOKUP(Append1[[#This Row],[sku_type_sap]],Лист1!A:G,3,0)</f>
        <v>0.45</v>
      </c>
      <c r="D11" t="str">
        <f>VLOOKUP(Append1[[#This Row],[sku_type_sap]],Лист1!A:G,4,0)</f>
        <v>CAN</v>
      </c>
      <c r="E11" s="1" t="str">
        <f>VLOOKUP(Append1[[#This Row],[sku_type_sap]],Лист1!A:G,5,0)</f>
        <v>TORNADO 0,45 CAN</v>
      </c>
    </row>
    <row r="12" spans="1:5" x14ac:dyDescent="0.25">
      <c r="A12" s="1" t="s">
        <v>11</v>
      </c>
      <c r="B12" t="str">
        <f>VLOOKUP(Append1[[#This Row],[sku_type_sap]],Лист1!A:G,2,0)</f>
        <v>TORNADO</v>
      </c>
      <c r="C12">
        <f>VLOOKUP(Append1[[#This Row],[sku_type_sap]],Лист1!A:G,3,0)</f>
        <v>0.47299999999999998</v>
      </c>
      <c r="D12" t="str">
        <f>VLOOKUP(Append1[[#This Row],[sku_type_sap]],Лист1!A:G,4,0)</f>
        <v>PET</v>
      </c>
      <c r="E12" s="1" t="str">
        <f>VLOOKUP(Append1[[#This Row],[sku_type_sap]],Лист1!A:G,5,0)</f>
        <v>TORNADO 0,473 PET</v>
      </c>
    </row>
    <row r="13" spans="1:5" x14ac:dyDescent="0.25">
      <c r="A13" s="1" t="s">
        <v>12</v>
      </c>
      <c r="B13" t="str">
        <f>VLOOKUP(Append1[[#This Row],[sku_type_sap]],Лист1!A:G,2,0)</f>
        <v>TORNADO</v>
      </c>
      <c r="C13">
        <f>VLOOKUP(Append1[[#This Row],[sku_type_sap]],Лист1!A:G,3,0)</f>
        <v>1</v>
      </c>
      <c r="D13" t="str">
        <f>VLOOKUP(Append1[[#This Row],[sku_type_sap]],Лист1!A:G,4,0)</f>
        <v>PET</v>
      </c>
      <c r="E13" s="1" t="str">
        <f>VLOOKUP(Append1[[#This Row],[sku_type_sap]],Лист1!A:G,5,0)</f>
        <v>TORNADO 1 PET</v>
      </c>
    </row>
    <row r="14" spans="1:5" x14ac:dyDescent="0.25">
      <c r="A14" s="1" t="s">
        <v>13</v>
      </c>
      <c r="B14" t="str">
        <f>VLOOKUP(Append1[[#This Row],[sku_type_sap]],Лист1!A:G,2,0)</f>
        <v>ИЛ</v>
      </c>
      <c r="C14">
        <f>VLOOKUP(Append1[[#This Row],[sku_type_sap]],Лист1!A:G,3,0)</f>
        <v>0.45</v>
      </c>
      <c r="D14" t="str">
        <f>VLOOKUP(Append1[[#This Row],[sku_type_sap]],Лист1!A:G,4,0)</f>
        <v>CAN</v>
      </c>
      <c r="E14" s="1" t="str">
        <f>VLOOKUP(Append1[[#This Row],[sku_type_sap]],Лист1!A:G,5,0)</f>
        <v>ИЛ 0,45 CAN</v>
      </c>
    </row>
    <row r="15" spans="1:5" x14ac:dyDescent="0.25">
      <c r="A15" s="1" t="s">
        <v>14</v>
      </c>
      <c r="B15" t="str">
        <f>VLOOKUP(Append1[[#This Row],[sku_type_sap]],Лист1!A:G,2,0)</f>
        <v>ИЛ</v>
      </c>
      <c r="C15">
        <f>VLOOKUP(Append1[[#This Row],[sku_type_sap]],Лист1!A:G,3,0)</f>
        <v>0.48</v>
      </c>
      <c r="D15" t="str">
        <f>VLOOKUP(Append1[[#This Row],[sku_type_sap]],Лист1!A:G,4,0)</f>
        <v>PET</v>
      </c>
      <c r="E15" s="1" t="str">
        <f>VLOOKUP(Append1[[#This Row],[sku_type_sap]],Лист1!A:G,5,0)</f>
        <v>ИЛ 0,48 PET</v>
      </c>
    </row>
    <row r="16" spans="1:5" x14ac:dyDescent="0.25">
      <c r="A16" s="1" t="s">
        <v>15</v>
      </c>
      <c r="B16" t="str">
        <f>VLOOKUP(Append1[[#This Row],[sku_type_sap]],Лист1!A:G,2,0)</f>
        <v>ИЛ</v>
      </c>
      <c r="C16">
        <f>VLOOKUP(Append1[[#This Row],[sku_type_sap]],Лист1!A:G,3,0)</f>
        <v>1.42</v>
      </c>
      <c r="D16" t="str">
        <f>VLOOKUP(Append1[[#This Row],[sku_type_sap]],Лист1!A:G,4,0)</f>
        <v>PET</v>
      </c>
      <c r="E16" s="1" t="str">
        <f>VLOOKUP(Append1[[#This Row],[sku_type_sap]],Лист1!A:G,5,0)</f>
        <v>ИЛ 1,42 PET</v>
      </c>
    </row>
    <row r="17" spans="1:5" x14ac:dyDescent="0.25">
      <c r="A17" s="1" t="s">
        <v>16</v>
      </c>
      <c r="B17" t="str">
        <f>VLOOKUP(Append1[[#This Row],[sku_type_sap]],Лист1!A:G,2,0)</f>
        <v>TORNADO MAX</v>
      </c>
      <c r="C17">
        <f>VLOOKUP(Append1[[#This Row],[sku_type_sap]],Лист1!A:G,3,0)</f>
        <v>0.45</v>
      </c>
      <c r="D17" t="str">
        <f>VLOOKUP(Append1[[#This Row],[sku_type_sap]],Лист1!A:G,4,0)</f>
        <v>CAN</v>
      </c>
      <c r="E17" s="1" t="str">
        <f>VLOOKUP(Append1[[#This Row],[sku_type_sap]],Лист1!A:G,5,0)</f>
        <v>TORNADO MAX 0,45 CAN</v>
      </c>
    </row>
    <row r="18" spans="1:5" x14ac:dyDescent="0.25">
      <c r="A18" s="1" t="s">
        <v>17</v>
      </c>
      <c r="B18" t="str">
        <f>VLOOKUP(Append1[[#This Row],[sku_type_sap]],Лист1!A:G,2,0)</f>
        <v>TORNADO MAX</v>
      </c>
      <c r="C18">
        <f>VLOOKUP(Append1[[#This Row],[sku_type_sap]],Лист1!A:G,3,0)</f>
        <v>0.47299999999999998</v>
      </c>
      <c r="D18" t="str">
        <f>VLOOKUP(Append1[[#This Row],[sku_type_sap]],Лист1!A:G,4,0)</f>
        <v>PET</v>
      </c>
      <c r="E18" s="1" t="str">
        <f>VLOOKUP(Append1[[#This Row],[sku_type_sap]],Лист1!A:G,5,0)</f>
        <v>TORNADO MAX 0,473 PET</v>
      </c>
    </row>
    <row r="19" spans="1:5" x14ac:dyDescent="0.25">
      <c r="A19" s="1" t="s">
        <v>18</v>
      </c>
      <c r="B19" t="str">
        <f>VLOOKUP(Append1[[#This Row],[sku_type_sap]],Лист1!A:G,2,0)</f>
        <v>TORNADO MAX</v>
      </c>
      <c r="C19">
        <f>VLOOKUP(Append1[[#This Row],[sku_type_sap]],Лист1!A:G,3,0)</f>
        <v>0.45</v>
      </c>
      <c r="D19" t="str">
        <f>VLOOKUP(Append1[[#This Row],[sku_type_sap]],Лист1!A:G,4,0)</f>
        <v>CAN</v>
      </c>
      <c r="E19" s="1" t="str">
        <f>VLOOKUP(Append1[[#This Row],[sku_type_sap]],Лист1!A:G,5,0)</f>
        <v>TORNADO MAX 0,45 CAN</v>
      </c>
    </row>
    <row r="20" spans="1:5" x14ac:dyDescent="0.25">
      <c r="A20" s="1" t="s">
        <v>19</v>
      </c>
      <c r="B20" t="str">
        <f>VLOOKUP(Append1[[#This Row],[sku_type_sap]],Лист1!A:G,2,0)</f>
        <v>TORNADO MAX</v>
      </c>
      <c r="C20">
        <f>VLOOKUP(Append1[[#This Row],[sku_type_sap]],Лист1!A:G,3,0)</f>
        <v>0.47299999999999998</v>
      </c>
      <c r="D20" t="str">
        <f>VLOOKUP(Append1[[#This Row],[sku_type_sap]],Лист1!A:G,4,0)</f>
        <v>PET</v>
      </c>
      <c r="E20" s="1" t="str">
        <f>VLOOKUP(Append1[[#This Row],[sku_type_sap]],Лист1!A:G,5,0)</f>
        <v>TORNADO MAX 0,473 PET</v>
      </c>
    </row>
    <row r="21" spans="1:5" x14ac:dyDescent="0.25">
      <c r="A21" s="1" t="s">
        <v>20</v>
      </c>
      <c r="B21" t="str">
        <f>VLOOKUP(Append1[[#This Row],[sku_type_sap]],Лист1!A:G,2,0)</f>
        <v>FRESH BAR</v>
      </c>
      <c r="C21">
        <f>VLOOKUP(Append1[[#This Row],[sku_type_sap]],Лист1!A:G,3,0)</f>
        <v>1</v>
      </c>
      <c r="D21" t="str">
        <f>VLOOKUP(Append1[[#This Row],[sku_type_sap]],Лист1!A:G,4,0)</f>
        <v>PET</v>
      </c>
      <c r="E21" s="1" t="str">
        <f>VLOOKUP(Append1[[#This Row],[sku_type_sap]],Лист1!A:G,5,0)</f>
        <v>FRESH BAR 1 PET</v>
      </c>
    </row>
    <row r="22" spans="1:5" x14ac:dyDescent="0.25">
      <c r="A22" s="1" t="s">
        <v>21</v>
      </c>
      <c r="B22" t="str">
        <f>VLOOKUP(Append1[[#This Row],[sku_type_sap]],Лист1!A:G,2,0)</f>
        <v>COLA BY FRESH BAR</v>
      </c>
      <c r="C22">
        <f>VLOOKUP(Append1[[#This Row],[sku_type_sap]],Лист1!A:G,3,0)</f>
        <v>1</v>
      </c>
      <c r="D22" t="str">
        <f>VLOOKUP(Append1[[#This Row],[sku_type_sap]],Лист1!A:G,4,0)</f>
        <v>PET</v>
      </c>
      <c r="E22" s="1" t="str">
        <f>VLOOKUP(Append1[[#This Row],[sku_type_sap]],Лист1!A:G,5,0)</f>
        <v>COLA BY FRESH BAR 1 PET</v>
      </c>
    </row>
    <row r="23" spans="1:5" x14ac:dyDescent="0.25">
      <c r="A23" s="1" t="s">
        <v>22</v>
      </c>
      <c r="B23" t="str">
        <f>VLOOKUP(Append1[[#This Row],[sku_type_sap]],Лист1!A:G,2,0)</f>
        <v>FRESH BAR</v>
      </c>
      <c r="C23">
        <f>VLOOKUP(Append1[[#This Row],[sku_type_sap]],Лист1!A:G,3,0)</f>
        <v>1</v>
      </c>
      <c r="D23" t="str">
        <f>VLOOKUP(Append1[[#This Row],[sku_type_sap]],Лист1!A:G,4,0)</f>
        <v>PET</v>
      </c>
      <c r="E23" s="1" t="str">
        <f>VLOOKUP(Append1[[#This Row],[sku_type_sap]],Лист1!A:G,5,0)</f>
        <v>FRESH BAR 1 PET</v>
      </c>
    </row>
    <row r="24" spans="1:5" x14ac:dyDescent="0.25">
      <c r="A24" s="1" t="s">
        <v>23</v>
      </c>
      <c r="B24" t="str">
        <f>VLOOKUP(Append1[[#This Row],[sku_type_sap]],Лист1!A:G,2,0)</f>
        <v>COLA BY FRESH BAR</v>
      </c>
      <c r="C24">
        <f>VLOOKUP(Append1[[#This Row],[sku_type_sap]],Лист1!A:G,3,0)</f>
        <v>0.45</v>
      </c>
      <c r="D24" t="str">
        <f>VLOOKUP(Append1[[#This Row],[sku_type_sap]],Лист1!A:G,4,0)</f>
        <v>CAN</v>
      </c>
      <c r="E24" s="1" t="str">
        <f>VLOOKUP(Append1[[#This Row],[sku_type_sap]],Лист1!A:G,5,0)</f>
        <v>COLA BY FRESH BAR 0,45 CAN</v>
      </c>
    </row>
    <row r="25" spans="1:5" x14ac:dyDescent="0.25">
      <c r="A25" s="1" t="s">
        <v>24</v>
      </c>
      <c r="B25" t="str">
        <f>VLOOKUP(Append1[[#This Row],[sku_type_sap]],Лист1!A:G,2,0)</f>
        <v>COLA BY FRESH BAR</v>
      </c>
      <c r="C25">
        <f>VLOOKUP(Append1[[#This Row],[sku_type_sap]],Лист1!A:G,3,0)</f>
        <v>0.48</v>
      </c>
      <c r="D25" t="str">
        <f>VLOOKUP(Append1[[#This Row],[sku_type_sap]],Лист1!A:G,4,0)</f>
        <v>PET</v>
      </c>
      <c r="E25" s="1" t="str">
        <f>VLOOKUP(Append1[[#This Row],[sku_type_sap]],Лист1!A:G,5,0)</f>
        <v>COLA BY FRESH BAR 0,48 PET</v>
      </c>
    </row>
    <row r="26" spans="1:5" x14ac:dyDescent="0.25">
      <c r="A26" s="1" t="s">
        <v>25</v>
      </c>
      <c r="B26" t="str">
        <f>VLOOKUP(Append1[[#This Row],[sku_type_sap]],Лист1!A:G,2,0)</f>
        <v>COLA BY FRESH BAR</v>
      </c>
      <c r="C26">
        <f>VLOOKUP(Append1[[#This Row],[sku_type_sap]],Лист1!A:G,3,0)</f>
        <v>1.5</v>
      </c>
      <c r="D26" t="str">
        <f>VLOOKUP(Append1[[#This Row],[sku_type_sap]],Лист1!A:G,4,0)</f>
        <v>PET</v>
      </c>
      <c r="E26" s="1" t="str">
        <f>VLOOKUP(Append1[[#This Row],[sku_type_sap]],Лист1!A:G,5,0)</f>
        <v>COLA BY FRESH BAR 1,5 PET</v>
      </c>
    </row>
    <row r="27" spans="1:5" x14ac:dyDescent="0.25">
      <c r="A27" s="1" t="s">
        <v>26</v>
      </c>
      <c r="B27" t="str">
        <f>VLOOKUP(Append1[[#This Row],[sku_type_sap]],Лист1!A:G,2,0)</f>
        <v>TORNADO MAX</v>
      </c>
      <c r="C27">
        <f>VLOOKUP(Append1[[#This Row],[sku_type_sap]],Лист1!A:G,3,0)</f>
        <v>0.45</v>
      </c>
      <c r="D27" t="str">
        <f>VLOOKUP(Append1[[#This Row],[sku_type_sap]],Лист1!A:G,4,0)</f>
        <v>CAN</v>
      </c>
      <c r="E27" s="1" t="str">
        <f>VLOOKUP(Append1[[#This Row],[sku_type_sap]],Лист1!A:G,5,0)</f>
        <v>TORNADO MAX 0,45 CAN</v>
      </c>
    </row>
    <row r="28" spans="1:5" x14ac:dyDescent="0.25">
      <c r="A28" s="1" t="s">
        <v>27</v>
      </c>
      <c r="B28" t="str">
        <f>VLOOKUP(Append1[[#This Row],[sku_type_sap]],Лист1!A:G,2,0)</f>
        <v>TORNADO MAX</v>
      </c>
      <c r="C28">
        <f>VLOOKUP(Append1[[#This Row],[sku_type_sap]],Лист1!A:G,3,0)</f>
        <v>0.47299999999999998</v>
      </c>
      <c r="D28" t="str">
        <f>VLOOKUP(Append1[[#This Row],[sku_type_sap]],Лист1!A:G,4,0)</f>
        <v>PET</v>
      </c>
      <c r="E28" s="1" t="str">
        <f>VLOOKUP(Append1[[#This Row],[sku_type_sap]],Лист1!A:G,5,0)</f>
        <v>TORNADO MAX 0,473 PET</v>
      </c>
    </row>
    <row r="29" spans="1:5" x14ac:dyDescent="0.25">
      <c r="A29" s="1" t="s">
        <v>29</v>
      </c>
      <c r="B29" t="str">
        <f>VLOOKUP(Append1[[#This Row],[sku_type_sap]],Лист1!A:G,2,0)</f>
        <v>TORNADO</v>
      </c>
      <c r="C29">
        <f>VLOOKUP(Append1[[#This Row],[sku_type_sap]],Лист1!A:G,3,0)</f>
        <v>0.25</v>
      </c>
      <c r="D29" t="str">
        <f>VLOOKUP(Append1[[#This Row],[sku_type_sap]],Лист1!A:G,4,0)</f>
        <v>CAN</v>
      </c>
      <c r="E29" s="1" t="str">
        <f>VLOOKUP(Append1[[#This Row],[sku_type_sap]],Лист1!A:G,5,0)</f>
        <v>TORNADO 0,25 CAN</v>
      </c>
    </row>
    <row r="30" spans="1:5" x14ac:dyDescent="0.25">
      <c r="A30" s="1" t="s">
        <v>30</v>
      </c>
      <c r="B30" t="str">
        <f>VLOOKUP(Append1[[#This Row],[sku_type_sap]],Лист1!A:G,2,0)</f>
        <v>COLA BY FRESH BAR</v>
      </c>
      <c r="C30">
        <f>VLOOKUP(Append1[[#This Row],[sku_type_sap]],Лист1!A:G,3,0)</f>
        <v>0.48</v>
      </c>
      <c r="D30" t="str">
        <f>VLOOKUP(Append1[[#This Row],[sku_type_sap]],Лист1!A:G,4,0)</f>
        <v>PET</v>
      </c>
      <c r="E30" s="1" t="str">
        <f>VLOOKUP(Append1[[#This Row],[sku_type_sap]],Лист1!A:G,5,0)</f>
        <v>COLA BY FRESH BAR 0,48 PET</v>
      </c>
    </row>
    <row r="31" spans="1:5" x14ac:dyDescent="0.25">
      <c r="A31" s="1" t="s">
        <v>31</v>
      </c>
      <c r="B31" t="str">
        <f>VLOOKUP(Append1[[#This Row],[sku_type_sap]],Лист1!A:G,2,0)</f>
        <v>COLA BY FRESH BAR</v>
      </c>
      <c r="C31">
        <f>VLOOKUP(Append1[[#This Row],[sku_type_sap]],Лист1!A:G,3,0)</f>
        <v>1.5</v>
      </c>
      <c r="D31" t="str">
        <f>VLOOKUP(Append1[[#This Row],[sku_type_sap]],Лист1!A:G,4,0)</f>
        <v>PET</v>
      </c>
      <c r="E31" s="1" t="str">
        <f>VLOOKUP(Append1[[#This Row],[sku_type_sap]],Лист1!A:G,5,0)</f>
        <v>COLA BY FRESH BAR 1,5 PET</v>
      </c>
    </row>
    <row r="32" spans="1:5" x14ac:dyDescent="0.25">
      <c r="A32" s="1" t="s">
        <v>32</v>
      </c>
      <c r="B32" t="str">
        <f>VLOOKUP(Append1[[#This Row],[sku_type_sap]],Лист1!A:G,2,0)</f>
        <v>ИЛ</v>
      </c>
      <c r="C32">
        <f>VLOOKUP(Append1[[#This Row],[sku_type_sap]],Лист1!A:G,3,0)</f>
        <v>0.45</v>
      </c>
      <c r="D32" t="str">
        <f>VLOOKUP(Append1[[#This Row],[sku_type_sap]],Лист1!A:G,4,0)</f>
        <v>CAN</v>
      </c>
      <c r="E32" s="1" t="str">
        <f>VLOOKUP(Append1[[#This Row],[sku_type_sap]],Лист1!A:G,5,0)</f>
        <v>ИЛ 0,45 CAN</v>
      </c>
    </row>
    <row r="33" spans="1:5" x14ac:dyDescent="0.25">
      <c r="A33" s="1" t="s">
        <v>33</v>
      </c>
      <c r="B33" t="str">
        <f>VLOOKUP(Append1[[#This Row],[sku_type_sap]],Лист1!A:G,2,0)</f>
        <v>COLA BY FRESH BAR</v>
      </c>
      <c r="C33">
        <f>VLOOKUP(Append1[[#This Row],[sku_type_sap]],Лист1!A:G,3,0)</f>
        <v>0.45</v>
      </c>
      <c r="D33" t="str">
        <f>VLOOKUP(Append1[[#This Row],[sku_type_sap]],Лист1!A:G,4,0)</f>
        <v>CAN</v>
      </c>
      <c r="E33" s="1" t="str">
        <f>VLOOKUP(Append1[[#This Row],[sku_type_sap]],Лист1!A:G,5,0)</f>
        <v>COLA BY FRESH BAR 0,45 CAN</v>
      </c>
    </row>
    <row r="34" spans="1:5" x14ac:dyDescent="0.25">
      <c r="A34" s="1" t="s">
        <v>34</v>
      </c>
      <c r="B34" t="str">
        <f>VLOOKUP(Append1[[#This Row],[sku_type_sap]],Лист1!A:G,2,0)</f>
        <v>FRESH BAR</v>
      </c>
      <c r="C34">
        <f>VLOOKUP(Append1[[#This Row],[sku_type_sap]],Лист1!A:G,3,0)</f>
        <v>1</v>
      </c>
      <c r="D34" t="str">
        <f>VLOOKUP(Append1[[#This Row],[sku_type_sap]],Лист1!A:G,4,0)</f>
        <v>PET</v>
      </c>
      <c r="E34" s="1" t="str">
        <f>VLOOKUP(Append1[[#This Row],[sku_type_sap]],Лист1!A:G,5,0)</f>
        <v>FRESH BAR 1 PET</v>
      </c>
    </row>
    <row r="35" spans="1:5" x14ac:dyDescent="0.25">
      <c r="A35" s="1" t="s">
        <v>35</v>
      </c>
      <c r="B35" t="str">
        <f>VLOOKUP(Append1[[#This Row],[sku_type_sap]],Лист1!A:G,2,0)</f>
        <v>NPI</v>
      </c>
      <c r="C35">
        <f>VLOOKUP(Append1[[#This Row],[sku_type_sap]],Лист1!A:G,3,0)</f>
        <v>0.45</v>
      </c>
      <c r="D35" t="str">
        <f>VLOOKUP(Append1[[#This Row],[sku_type_sap]],Лист1!A:G,4,0)</f>
        <v>PET</v>
      </c>
      <c r="E35" s="1" t="str">
        <f>VLOOKUP(Append1[[#This Row],[sku_type_sap]],Лист1!A:G,5,0)</f>
        <v>NPI 0,45 PET</v>
      </c>
    </row>
    <row r="36" spans="1:5" x14ac:dyDescent="0.25">
      <c r="A36" s="1" t="s">
        <v>36</v>
      </c>
      <c r="B36" t="str">
        <f>VLOOKUP(Append1[[#This Row],[sku_type_sap]],Лист1!A:G,2,0)</f>
        <v>TORNADO MAX</v>
      </c>
      <c r="C36">
        <f>VLOOKUP(Append1[[#This Row],[sku_type_sap]],Лист1!A:G,3,0)</f>
        <v>0.45</v>
      </c>
      <c r="D36" t="str">
        <f>VLOOKUP(Append1[[#This Row],[sku_type_sap]],Лист1!A:G,4,0)</f>
        <v>CAN</v>
      </c>
      <c r="E36" s="1" t="str">
        <f>VLOOKUP(Append1[[#This Row],[sku_type_sap]],Лист1!A:G,5,0)</f>
        <v>TORNADO MAX 0,45 CAN</v>
      </c>
    </row>
    <row r="37" spans="1:5" x14ac:dyDescent="0.25">
      <c r="A37" s="1" t="s">
        <v>37</v>
      </c>
      <c r="B37" t="str">
        <f>VLOOKUP(Append1[[#This Row],[sku_type_sap]],Лист1!A:G,2,0)</f>
        <v>TORNADO MAX</v>
      </c>
      <c r="C37">
        <f>VLOOKUP(Append1[[#This Row],[sku_type_sap]],Лист1!A:G,3,0)</f>
        <v>0.47299999999999998</v>
      </c>
      <c r="D37" t="str">
        <f>VLOOKUP(Append1[[#This Row],[sku_type_sap]],Лист1!A:G,4,0)</f>
        <v>PET</v>
      </c>
      <c r="E37" s="1" t="str">
        <f>VLOOKUP(Append1[[#This Row],[sku_type_sap]],Лист1!A:G,5,0)</f>
        <v>TORNADO MAX 0,473 PET</v>
      </c>
    </row>
    <row r="38" spans="1:5" x14ac:dyDescent="0.25">
      <c r="A38" s="1" t="s">
        <v>38</v>
      </c>
      <c r="B38" s="1" t="s">
        <v>53</v>
      </c>
      <c r="C38">
        <f>VLOOKUP(Append1[[#This Row],[sku_type_sap]],Лист1!A:G,3,0)</f>
        <v>0.33</v>
      </c>
      <c r="D38" t="str">
        <f>VLOOKUP(Append1[[#This Row],[sku_type_sap]],Лист1!A:G,4,0)</f>
        <v>CAN</v>
      </c>
      <c r="E38" s="1" t="str">
        <f>VLOOKUP(Append1[[#This Row],[sku_type_sap]],Лист1!A:G,5,0)</f>
        <v>TORNADO MAX 0,33 CAN</v>
      </c>
    </row>
    <row r="39" spans="1:5" x14ac:dyDescent="0.25">
      <c r="A39" s="1" t="s">
        <v>39</v>
      </c>
      <c r="B39" t="str">
        <f>VLOOKUP(Append1[[#This Row],[sku_type_sap]],Лист1!A:G,2,0)</f>
        <v>E-ON</v>
      </c>
      <c r="C39">
        <f>VLOOKUP(Append1[[#This Row],[sku_type_sap]],Лист1!A:G,3,0)</f>
        <v>0.45</v>
      </c>
      <c r="D39" t="str">
        <f>VLOOKUP(Append1[[#This Row],[sku_type_sap]],Лист1!A:G,4,0)</f>
        <v>CAN</v>
      </c>
      <c r="E39" s="1" t="str">
        <f>VLOOKUP(Append1[[#This Row],[sku_type_sap]],Лист1!A:G,5,0)</f>
        <v>E-ON 0,45 CAN</v>
      </c>
    </row>
    <row r="40" spans="1:5" x14ac:dyDescent="0.25">
      <c r="A40" s="1" t="s">
        <v>40</v>
      </c>
      <c r="B40" t="str">
        <f>VLOOKUP(Append1[[#This Row],[sku_type_sap]],Лист1!A:G,2,0)</f>
        <v>COLA BY FRESH BAR</v>
      </c>
      <c r="C40">
        <f>VLOOKUP(Append1[[#This Row],[sku_type_sap]],Лист1!A:G,3,0)</f>
        <v>1.5</v>
      </c>
      <c r="D40" t="str">
        <f>VLOOKUP(Append1[[#This Row],[sku_type_sap]],Лист1!A:G,4,0)</f>
        <v>PET</v>
      </c>
      <c r="E40" s="1" t="str">
        <f>VLOOKUP(Append1[[#This Row],[sku_type_sap]],Лист1!A:G,5,0)</f>
        <v>COLA BY FRESH BAR 1,5 PET</v>
      </c>
    </row>
    <row r="41" spans="1:5" x14ac:dyDescent="0.25">
      <c r="A41" s="1" t="s">
        <v>41</v>
      </c>
      <c r="B41" t="str">
        <f>VLOOKUP(Append1[[#This Row],[sku_type_sap]],Лист1!A:G,2,0)</f>
        <v>COLA BY FRESH BAR</v>
      </c>
      <c r="C41">
        <f>VLOOKUP(Append1[[#This Row],[sku_type_sap]],Лист1!A:G,3,0)</f>
        <v>0.45</v>
      </c>
      <c r="D41" t="str">
        <f>VLOOKUP(Append1[[#This Row],[sku_type_sap]],Лист1!A:G,4,0)</f>
        <v>CAN</v>
      </c>
      <c r="E41" s="1" t="str">
        <f>VLOOKUP(Append1[[#This Row],[sku_type_sap]],Лист1!A:G,5,0)</f>
        <v>COLA BY FRESH BAR 0,45 CAN</v>
      </c>
    </row>
    <row r="42" spans="1:5" x14ac:dyDescent="0.25">
      <c r="A42" s="1" t="s">
        <v>42</v>
      </c>
      <c r="B42" t="str">
        <f>VLOOKUP(Append1[[#This Row],[sku_type_sap]],Лист1!A:G,2,0)</f>
        <v>TORNADO MAX</v>
      </c>
      <c r="C42">
        <f>VLOOKUP(Append1[[#This Row],[sku_type_sap]],Лист1!A:G,3,0)</f>
        <v>0.45</v>
      </c>
      <c r="D42" t="str">
        <f>VLOOKUP(Append1[[#This Row],[sku_type_sap]],Лист1!A:G,4,0)</f>
        <v>CAN</v>
      </c>
      <c r="E42" s="1" t="str">
        <f>VLOOKUP(Append1[[#This Row],[sku_type_sap]],Лист1!A:G,5,0)</f>
        <v>TORNADO MAX 0,45 CAN</v>
      </c>
    </row>
    <row r="43" spans="1:5" x14ac:dyDescent="0.25">
      <c r="A43" s="1" t="s">
        <v>43</v>
      </c>
      <c r="B43" t="str">
        <f>VLOOKUP(Append1[[#This Row],[sku_type_sap]],Лист1!A:G,2,0)</f>
        <v>TORNADO MAX</v>
      </c>
      <c r="C43">
        <f>VLOOKUP(Append1[[#This Row],[sku_type_sap]],Лист1!A:G,3,0)</f>
        <v>0.47299999999999998</v>
      </c>
      <c r="D43" t="str">
        <f>VLOOKUP(Append1[[#This Row],[sku_type_sap]],Лист1!A:G,4,0)</f>
        <v>PET</v>
      </c>
      <c r="E43" s="1" t="str">
        <f>VLOOKUP(Append1[[#This Row],[sku_type_sap]],Лист1!A:G,5,0)</f>
        <v>TORNADO MAX 0,473 PET</v>
      </c>
    </row>
    <row r="44" spans="1:5" x14ac:dyDescent="0.25">
      <c r="A44" s="1" t="s">
        <v>5</v>
      </c>
      <c r="B44" s="1" t="str">
        <f>VLOOKUP(Append1[[#This Row],[sku_type_sap]],Лист1!A:G,2,0)</f>
        <v>E-ON</v>
      </c>
      <c r="C44" s="1">
        <f>VLOOKUP(Append1[[#This Row],[sku_type_sap]],Лист1!A:G,3,0)</f>
        <v>0.45</v>
      </c>
      <c r="D44" s="1" t="str">
        <f>VLOOKUP(Append1[[#This Row],[sku_type_sap]],Лист1!A:G,4,0)</f>
        <v>CAN</v>
      </c>
      <c r="E44" s="1" t="str">
        <f>VLOOKUP(Append1[[#This Row],[sku_type_sap]],Лист1!A:G,5,0)</f>
        <v>E-ON 0,45 CAN</v>
      </c>
    </row>
    <row r="45" spans="1:5" x14ac:dyDescent="0.25">
      <c r="A45" s="1" t="s">
        <v>97</v>
      </c>
      <c r="B45" s="1" t="str">
        <f>VLOOKUP(Append1[[#This Row],[sku_type_sap]],Лист1!A:G,2,0)</f>
        <v>E-ON</v>
      </c>
      <c r="C45" s="1">
        <f>VLOOKUP(Append1[[#This Row],[sku_type_sap]],Лист1!A:G,3,0)</f>
        <v>0.5</v>
      </c>
      <c r="D45" s="1" t="str">
        <f>VLOOKUP(Append1[[#This Row],[sku_type_sap]],Лист1!A:G,4,0)</f>
        <v>PET</v>
      </c>
      <c r="E45" s="1" t="str">
        <f>VLOOKUP(Append1[[#This Row],[sku_type_sap]],Лист1!A:G,5,0)</f>
        <v>E-ON 0,5 PET</v>
      </c>
    </row>
    <row r="46" spans="1:5" x14ac:dyDescent="0.25">
      <c r="A46" s="1" t="s">
        <v>98</v>
      </c>
      <c r="B46" s="1" t="str">
        <f>VLOOKUP(Append1[[#This Row],[sku_type_sap]],Лист1!A:G,2,0)</f>
        <v>COLA BY FRESH BAR</v>
      </c>
      <c r="C46" s="1">
        <f>VLOOKUP(Append1[[#This Row],[sku_type_sap]],Лист1!A:G,3,0)</f>
        <v>0.48</v>
      </c>
      <c r="D46" s="1" t="str">
        <f>VLOOKUP(Append1[[#This Row],[sku_type_sap]],Лист1!A:G,4,0)</f>
        <v>PET</v>
      </c>
      <c r="E46" s="1" t="str">
        <f>VLOOKUP(Append1[[#This Row],[sku_type_sap]],Лист1!A:G,5,0)</f>
        <v>COLA BY FRESH BAR 0,48 PET</v>
      </c>
    </row>
    <row r="47" spans="1:5" x14ac:dyDescent="0.25">
      <c r="A47" s="1" t="s">
        <v>99</v>
      </c>
      <c r="B47" s="1" t="str">
        <f>VLOOKUP(Append1[[#This Row],[sku_type_sap]],Лист1!A:G,2,0)</f>
        <v>COLA BY FRESH BAR</v>
      </c>
      <c r="C47" s="1">
        <f>VLOOKUP(Append1[[#This Row],[sku_type_sap]],Лист1!A:G,3,0)</f>
        <v>1.5</v>
      </c>
      <c r="D47" s="1" t="str">
        <f>VLOOKUP(Append1[[#This Row],[sku_type_sap]],Лист1!A:G,4,0)</f>
        <v>PET</v>
      </c>
      <c r="E47" s="1" t="str">
        <f>VLOOKUP(Append1[[#This Row],[sku_type_sap]],Лист1!A:G,5,0)</f>
        <v>COLA BY FRESH BAR 1,5 PET</v>
      </c>
    </row>
    <row r="48" spans="1:5" x14ac:dyDescent="0.25">
      <c r="A48" s="1" t="s">
        <v>100</v>
      </c>
      <c r="B48" s="1" t="str">
        <f>VLOOKUP(Append1[[#This Row],[sku_type_sap]],Лист1!A:G,2,0)</f>
        <v>COLA BY FRESH BAR</v>
      </c>
      <c r="C48" s="1">
        <f>VLOOKUP(Append1[[#This Row],[sku_type_sap]],Лист1!A:G,3,0)</f>
        <v>0.45</v>
      </c>
      <c r="D48" s="1" t="str">
        <f>VLOOKUP(Append1[[#This Row],[sku_type_sap]],Лист1!A:G,4,0)</f>
        <v>CAN</v>
      </c>
      <c r="E48" s="1" t="str">
        <f>VLOOKUP(Append1[[#This Row],[sku_type_sap]],Лист1!A:G,5,0)</f>
        <v>COLA BY FRESH BAR 0,45 CAN</v>
      </c>
    </row>
    <row r="49" spans="1:5" x14ac:dyDescent="0.25">
      <c r="A49" s="1" t="s">
        <v>101</v>
      </c>
      <c r="B49" s="1" t="str">
        <f>VLOOKUP(Append1[[#This Row],[sku_type_sap]],Лист1!A:G,2,0)</f>
        <v>FRESH BAR</v>
      </c>
      <c r="C49" s="1">
        <f>VLOOKUP(Append1[[#This Row],[sku_type_sap]],Лист1!A:G,3,0)</f>
        <v>0.45</v>
      </c>
      <c r="D49" s="1" t="str">
        <f>VLOOKUP(Append1[[#This Row],[sku_type_sap]],Лист1!A:G,4,0)</f>
        <v>CAN</v>
      </c>
      <c r="E49" s="1" t="str">
        <f>VLOOKUP(Append1[[#This Row],[sku_type_sap]],Лист1!A:G,5,0)</f>
        <v>FRESH BAR 0,45 CAN</v>
      </c>
    </row>
    <row r="50" spans="1:5" x14ac:dyDescent="0.25">
      <c r="A50" s="1" t="s">
        <v>101</v>
      </c>
      <c r="B50" s="1" t="str">
        <f>VLOOKUP(Append1[[#This Row],[sku_type_sap]],Лист1!A:G,2,0)</f>
        <v>FRESH BAR</v>
      </c>
      <c r="C50" s="1">
        <f>VLOOKUP(Append1[[#This Row],[sku_type_sap]],Лист1!A:G,3,0)</f>
        <v>0.45</v>
      </c>
      <c r="D50" s="1" t="str">
        <f>VLOOKUP(Append1[[#This Row],[sku_type_sap]],Лист1!A:G,4,0)</f>
        <v>CAN</v>
      </c>
      <c r="E50" s="1" t="str">
        <f>VLOOKUP(Append1[[#This Row],[sku_type_sap]],Лист1!A:G,5,0)</f>
        <v>FRESH BAR 0,45 CAN</v>
      </c>
    </row>
    <row r="51" spans="1:5" x14ac:dyDescent="0.25">
      <c r="A51" s="1" t="s">
        <v>100</v>
      </c>
      <c r="B51" s="1" t="str">
        <f>VLOOKUP(Append1[[#This Row],[sku_type_sap]],Лист1!A:G,2,0)</f>
        <v>COLA BY FRESH BAR</v>
      </c>
      <c r="C51" s="1">
        <f>VLOOKUP(Append1[[#This Row],[sku_type_sap]],Лист1!A:G,3,0)</f>
        <v>0.45</v>
      </c>
      <c r="D51" s="1" t="str">
        <f>VLOOKUP(Append1[[#This Row],[sku_type_sap]],Лист1!A:G,4,0)</f>
        <v>CAN</v>
      </c>
      <c r="E51" s="1" t="str">
        <f>VLOOKUP(Append1[[#This Row],[sku_type_sap]],Лист1!A:G,5,0)</f>
        <v>COLA BY FRESH BAR 0,45 CAN</v>
      </c>
    </row>
    <row r="52" spans="1:5" x14ac:dyDescent="0.25">
      <c r="A52" s="1" t="s">
        <v>102</v>
      </c>
      <c r="B52" s="1" t="str">
        <f>VLOOKUP(Append1[[#This Row],[sku_type_sap]],Лист1!A:G,2,0)</f>
        <v>FRESH BAR</v>
      </c>
      <c r="C52" s="1">
        <f>VLOOKUP(Append1[[#This Row],[sku_type_sap]],Лист1!A:G,3,0)</f>
        <v>0.48</v>
      </c>
      <c r="D52" s="1" t="str">
        <f>VLOOKUP(Append1[[#This Row],[sku_type_sap]],Лист1!A:G,4,0)</f>
        <v>PET</v>
      </c>
      <c r="E52" s="1" t="str">
        <f>VLOOKUP(Append1[[#This Row],[sku_type_sap]],Лист1!A:G,5,0)</f>
        <v>FRESH BAR 0,48 PET</v>
      </c>
    </row>
    <row r="53" spans="1:5" x14ac:dyDescent="0.25">
      <c r="A53" s="1" t="s">
        <v>103</v>
      </c>
      <c r="B53" s="1" t="str">
        <f>VLOOKUP(Append1[[#This Row],[sku_type_sap]],Лист1!A:G,2,0)</f>
        <v>FRESH BAR</v>
      </c>
      <c r="C53" s="1">
        <f>VLOOKUP(Append1[[#This Row],[sku_type_sap]],Лист1!A:G,3,0)</f>
        <v>1.5</v>
      </c>
      <c r="D53" s="1" t="str">
        <f>VLOOKUP(Append1[[#This Row],[sku_type_sap]],Лист1!A:G,4,0)</f>
        <v>PET</v>
      </c>
      <c r="E53" s="1" t="str">
        <f>VLOOKUP(Append1[[#This Row],[sku_type_sap]],Лист1!A:G,5,0)</f>
        <v>FRESH BAR 1,5 PET</v>
      </c>
    </row>
    <row r="54" spans="1:5" x14ac:dyDescent="0.25">
      <c r="A54" s="1" t="s">
        <v>103</v>
      </c>
      <c r="B54" s="1" t="str">
        <f>VLOOKUP(Append1[[#This Row],[sku_type_sap]],Лист1!A:G,2,0)</f>
        <v>FRESH BAR</v>
      </c>
      <c r="C54" s="1">
        <f>VLOOKUP(Append1[[#This Row],[sku_type_sap]],Лист1!A:G,3,0)</f>
        <v>1.5</v>
      </c>
      <c r="D54" s="1" t="str">
        <f>VLOOKUP(Append1[[#This Row],[sku_type_sap]],Лист1!A:G,4,0)</f>
        <v>PET</v>
      </c>
      <c r="E54" s="1" t="str">
        <f>VLOOKUP(Append1[[#This Row],[sku_type_sap]],Лист1!A:G,5,0)</f>
        <v>FRESH BAR 1,5 PET</v>
      </c>
    </row>
    <row r="55" spans="1:5" x14ac:dyDescent="0.25">
      <c r="A55" s="1" t="s">
        <v>103</v>
      </c>
      <c r="B55" s="1" t="str">
        <f>VLOOKUP(Append1[[#This Row],[sku_type_sap]],Лист1!A:G,2,0)</f>
        <v>FRESH BAR</v>
      </c>
      <c r="C55" s="1">
        <f>VLOOKUP(Append1[[#This Row],[sku_type_sap]],Лист1!A:G,3,0)</f>
        <v>1.5</v>
      </c>
      <c r="D55" s="1" t="str">
        <f>VLOOKUP(Append1[[#This Row],[sku_type_sap]],Лист1!A:G,4,0)</f>
        <v>PET</v>
      </c>
      <c r="E55" s="1" t="str">
        <f>VLOOKUP(Append1[[#This Row],[sku_type_sap]],Лист1!A:G,5,0)</f>
        <v>FRESH BAR 1,5 PET</v>
      </c>
    </row>
    <row r="56" spans="1:5" x14ac:dyDescent="0.25">
      <c r="A56" s="1" t="s">
        <v>99</v>
      </c>
      <c r="B56" s="1" t="str">
        <f>VLOOKUP(Append1[[#This Row],[sku_type_sap]],Лист1!A:G,2,0)</f>
        <v>COLA BY FRESH BAR</v>
      </c>
      <c r="C56" s="1">
        <f>VLOOKUP(Append1[[#This Row],[sku_type_sap]],Лист1!A:G,3,0)</f>
        <v>1.5</v>
      </c>
      <c r="D56" s="1" t="str">
        <f>VLOOKUP(Append1[[#This Row],[sku_type_sap]],Лист1!A:G,4,0)</f>
        <v>PET</v>
      </c>
      <c r="E56" s="1" t="str">
        <f>VLOOKUP(Append1[[#This Row],[sku_type_sap]],Лист1!A:G,5,0)</f>
        <v>COLA BY FRESH BAR 1,5 PET</v>
      </c>
    </row>
    <row r="57" spans="1:5" x14ac:dyDescent="0.25">
      <c r="A57" s="1" t="s">
        <v>100</v>
      </c>
      <c r="B57" s="1" t="str">
        <f>VLOOKUP(Append1[[#This Row],[sku_type_sap]],Лист1!A:G,2,0)</f>
        <v>COLA BY FRESH BAR</v>
      </c>
      <c r="C57" s="1">
        <f>VLOOKUP(Append1[[#This Row],[sku_type_sap]],Лист1!A:G,3,0)</f>
        <v>0.45</v>
      </c>
      <c r="D57" s="1" t="str">
        <f>VLOOKUP(Append1[[#This Row],[sku_type_sap]],Лист1!A:G,4,0)</f>
        <v>CAN</v>
      </c>
      <c r="E57" s="1" t="str">
        <f>VLOOKUP(Append1[[#This Row],[sku_type_sap]],Лист1!A:G,5,0)</f>
        <v>COLA BY FRESH BAR 0,45 CAN</v>
      </c>
    </row>
    <row r="58" spans="1:5" x14ac:dyDescent="0.25">
      <c r="A58" s="1" t="s">
        <v>100</v>
      </c>
      <c r="B58" s="1" t="str">
        <f>VLOOKUP(Append1[[#This Row],[sku_type_sap]],Лист1!A:G,2,0)</f>
        <v>COLA BY FRESH BAR</v>
      </c>
      <c r="C58" s="1">
        <f>VLOOKUP(Append1[[#This Row],[sku_type_sap]],Лист1!A:G,3,0)</f>
        <v>0.45</v>
      </c>
      <c r="D58" s="1" t="str">
        <f>VLOOKUP(Append1[[#This Row],[sku_type_sap]],Лист1!A:G,4,0)</f>
        <v>CAN</v>
      </c>
      <c r="E58" s="1" t="str">
        <f>VLOOKUP(Append1[[#This Row],[sku_type_sap]],Лист1!A:G,5,0)</f>
        <v>COLA BY FRESH BAR 0,45 CAN</v>
      </c>
    </row>
    <row r="59" spans="1:5" x14ac:dyDescent="0.25">
      <c r="A59" s="1" t="s">
        <v>99</v>
      </c>
      <c r="B59" s="1" t="str">
        <f>VLOOKUP(Append1[[#This Row],[sku_type_sap]],Лист1!A:G,2,0)</f>
        <v>COLA BY FRESH BAR</v>
      </c>
      <c r="C59" s="1">
        <f>VLOOKUP(Append1[[#This Row],[sku_type_sap]],Лист1!A:G,3,0)</f>
        <v>1.5</v>
      </c>
      <c r="D59" s="1" t="str">
        <f>VLOOKUP(Append1[[#This Row],[sku_type_sap]],Лист1!A:G,4,0)</f>
        <v>PET</v>
      </c>
      <c r="E59" s="1" t="str">
        <f>VLOOKUP(Append1[[#This Row],[sku_type_sap]],Лист1!A:G,5,0)</f>
        <v>COLA BY FRESH BAR 1,5 PET</v>
      </c>
    </row>
    <row r="60" spans="1:5" x14ac:dyDescent="0.25">
      <c r="A60" s="1" t="s">
        <v>100</v>
      </c>
      <c r="B60" s="1" t="str">
        <f>VLOOKUP(Append1[[#This Row],[sku_type_sap]],Лист1!A:G,2,0)</f>
        <v>COLA BY FRESH BAR</v>
      </c>
      <c r="C60" s="1">
        <f>VLOOKUP(Append1[[#This Row],[sku_type_sap]],Лист1!A:G,3,0)</f>
        <v>0.45</v>
      </c>
      <c r="D60" s="1" t="str">
        <f>VLOOKUP(Append1[[#This Row],[sku_type_sap]],Лист1!A:G,4,0)</f>
        <v>CAN</v>
      </c>
      <c r="E60" s="1" t="str">
        <f>VLOOKUP(Append1[[#This Row],[sku_type_sap]],Лист1!A:G,5,0)</f>
        <v>COLA BY FRESH BAR 0,45 CAN</v>
      </c>
    </row>
    <row r="61" spans="1:5" x14ac:dyDescent="0.25">
      <c r="A61" s="1" t="s">
        <v>104</v>
      </c>
      <c r="B61" s="1" t="str">
        <f>VLOOKUP(Append1[[#This Row],[sku_type_sap]],Лист1!A:G,2,0)</f>
        <v>TORNADO</v>
      </c>
      <c r="C61" s="1">
        <f>VLOOKUP(Append1[[#This Row],[sku_type_sap]],Лист1!A:G,3,0)</f>
        <v>0.45</v>
      </c>
      <c r="D61" s="1" t="str">
        <f>VLOOKUP(Append1[[#This Row],[sku_type_sap]],Лист1!A:G,4,0)</f>
        <v>CAN</v>
      </c>
      <c r="E61" s="1" t="str">
        <f>VLOOKUP(Append1[[#This Row],[sku_type_sap]],Лист1!A:G,5,0)</f>
        <v>TORNADO 0,45 CAN</v>
      </c>
    </row>
    <row r="62" spans="1:5" x14ac:dyDescent="0.25">
      <c r="A62" s="1" t="s">
        <v>104</v>
      </c>
      <c r="B62" s="1" t="str">
        <f>VLOOKUP(Append1[[#This Row],[sku_type_sap]],Лист1!A:G,2,0)</f>
        <v>TORNADO</v>
      </c>
      <c r="C62" s="1">
        <f>VLOOKUP(Append1[[#This Row],[sku_type_sap]],Лист1!A:G,3,0)</f>
        <v>0.45</v>
      </c>
      <c r="D62" s="1" t="str">
        <f>VLOOKUP(Append1[[#This Row],[sku_type_sap]],Лист1!A:G,4,0)</f>
        <v>CAN</v>
      </c>
      <c r="E62" s="1" t="str">
        <f>VLOOKUP(Append1[[#This Row],[sku_type_sap]],Лист1!A:G,5,0)</f>
        <v>TORNADO 0,45 CAN</v>
      </c>
    </row>
    <row r="63" spans="1:5" x14ac:dyDescent="0.25">
      <c r="A63" s="1" t="s">
        <v>105</v>
      </c>
      <c r="B63" s="1" t="str">
        <f>VLOOKUP(Append1[[#This Row],[sku_type_sap]],Лист1!A:G,2,0)</f>
        <v>TORNADO</v>
      </c>
      <c r="C63" s="1">
        <f>VLOOKUP(Append1[[#This Row],[sku_type_sap]],Лист1!A:G,3,0)</f>
        <v>1</v>
      </c>
      <c r="D63" s="1" t="str">
        <f>VLOOKUP(Append1[[#This Row],[sku_type_sap]],Лист1!A:G,4,0)</f>
        <v>PET</v>
      </c>
      <c r="E63" s="1" t="str">
        <f>VLOOKUP(Append1[[#This Row],[sku_type_sap]],Лист1!A:G,5,0)</f>
        <v>TORNADO 1 PET</v>
      </c>
    </row>
    <row r="64" spans="1:5" x14ac:dyDescent="0.25">
      <c r="A64" s="1" t="s">
        <v>14</v>
      </c>
      <c r="B64" s="1" t="str">
        <f>VLOOKUP(Append1[[#This Row],[sku_type_sap]],Лист1!A:G,2,0)</f>
        <v>ИЛ</v>
      </c>
      <c r="C64" s="1">
        <f>VLOOKUP(Append1[[#This Row],[sku_type_sap]],Лист1!A:G,3,0)</f>
        <v>0.48</v>
      </c>
      <c r="D64" s="1" t="str">
        <f>VLOOKUP(Append1[[#This Row],[sku_type_sap]],Лист1!A:G,4,0)</f>
        <v>PET</v>
      </c>
      <c r="E64" s="1" t="str">
        <f>VLOOKUP(Append1[[#This Row],[sku_type_sap]],Лист1!A:G,5,0)</f>
        <v>ИЛ 0,48 PET</v>
      </c>
    </row>
    <row r="65" spans="1:5" x14ac:dyDescent="0.25">
      <c r="A65" s="1" t="s">
        <v>14</v>
      </c>
      <c r="B65" s="1" t="str">
        <f>VLOOKUP(Append1[[#This Row],[sku_type_sap]],Лист1!A:G,2,0)</f>
        <v>ИЛ</v>
      </c>
      <c r="C65" s="1">
        <f>VLOOKUP(Append1[[#This Row],[sku_type_sap]],Лист1!A:G,3,0)</f>
        <v>0.48</v>
      </c>
      <c r="D65" s="1" t="str">
        <f>VLOOKUP(Append1[[#This Row],[sku_type_sap]],Лист1!A:G,4,0)</f>
        <v>PET</v>
      </c>
      <c r="E65" s="1" t="str">
        <f>VLOOKUP(Append1[[#This Row],[sku_type_sap]],Лист1!A:G,5,0)</f>
        <v>ИЛ 0,48 PET</v>
      </c>
    </row>
    <row r="66" spans="1:5" x14ac:dyDescent="0.25">
      <c r="A66" s="1" t="s">
        <v>15</v>
      </c>
      <c r="B66" s="1" t="str">
        <f>VLOOKUP(Append1[[#This Row],[sku_type_sap]],Лист1!A:G,2,0)</f>
        <v>ИЛ</v>
      </c>
      <c r="C66" s="1">
        <f>VLOOKUP(Append1[[#This Row],[sku_type_sap]],Лист1!A:G,3,0)</f>
        <v>1.42</v>
      </c>
      <c r="D66" s="1" t="str">
        <f>VLOOKUP(Append1[[#This Row],[sku_type_sap]],Лист1!A:G,4,0)</f>
        <v>PET</v>
      </c>
      <c r="E66" s="1" t="str">
        <f>VLOOKUP(Append1[[#This Row],[sku_type_sap]],Лист1!A:G,5,0)</f>
        <v>ИЛ 1,42 PET</v>
      </c>
    </row>
    <row r="67" spans="1:5" x14ac:dyDescent="0.25">
      <c r="A67" s="1" t="s">
        <v>15</v>
      </c>
      <c r="B67" s="1" t="str">
        <f>VLOOKUP(Append1[[#This Row],[sku_type_sap]],Лист1!A:G,2,0)</f>
        <v>ИЛ</v>
      </c>
      <c r="C67" s="1">
        <f>VLOOKUP(Append1[[#This Row],[sku_type_sap]],Лист1!A:G,3,0)</f>
        <v>1.42</v>
      </c>
      <c r="D67" s="1" t="str">
        <f>VLOOKUP(Append1[[#This Row],[sku_type_sap]],Лист1!A:G,4,0)</f>
        <v>PET</v>
      </c>
      <c r="E67" s="1" t="str">
        <f>VLOOKUP(Append1[[#This Row],[sku_type_sap]],Лист1!A:G,5,0)</f>
        <v>ИЛ 1,42 PET</v>
      </c>
    </row>
    <row r="68" spans="1:5" x14ac:dyDescent="0.25">
      <c r="A68" s="1" t="s">
        <v>104</v>
      </c>
      <c r="B68" s="1" t="str">
        <f>VLOOKUP(Append1[[#This Row],[sku_type_sap]],Лист1!A:G,2,0)</f>
        <v>TORNADO</v>
      </c>
      <c r="C68" s="1">
        <f>VLOOKUP(Append1[[#This Row],[sku_type_sap]],Лист1!A:G,3,0)</f>
        <v>0.45</v>
      </c>
      <c r="D68" s="1" t="str">
        <f>VLOOKUP(Append1[[#This Row],[sku_type_sap]],Лист1!A:G,4,0)</f>
        <v>CAN</v>
      </c>
      <c r="E68" s="1" t="str">
        <f>VLOOKUP(Append1[[#This Row],[sku_type_sap]],Лист1!A:G,5,0)</f>
        <v>TORNADO 0,45 CAN</v>
      </c>
    </row>
    <row r="69" spans="1:5" x14ac:dyDescent="0.25">
      <c r="A69" s="1" t="s">
        <v>104</v>
      </c>
      <c r="B69" s="1" t="str">
        <f>VLOOKUP(Append1[[#This Row],[sku_type_sap]],Лист1!A:G,2,0)</f>
        <v>TORNADO</v>
      </c>
      <c r="C69" s="1">
        <f>VLOOKUP(Append1[[#This Row],[sku_type_sap]],Лист1!A:G,3,0)</f>
        <v>0.45</v>
      </c>
      <c r="D69" s="1" t="str">
        <f>VLOOKUP(Append1[[#This Row],[sku_type_sap]],Лист1!A:G,4,0)</f>
        <v>CAN</v>
      </c>
      <c r="E69" s="1" t="str">
        <f>VLOOKUP(Append1[[#This Row],[sku_type_sap]],Лист1!A:G,5,0)</f>
        <v>TORNADO 0,45 CAN</v>
      </c>
    </row>
    <row r="70" spans="1:5" x14ac:dyDescent="0.25">
      <c r="A70" s="1" t="s">
        <v>106</v>
      </c>
      <c r="B70" s="1" t="str">
        <f>VLOOKUP(Append1[[#This Row],[sku_type_sap]],Лист1!A:G,2,0)</f>
        <v>TORNADO MAX</v>
      </c>
      <c r="C70" s="1">
        <f>VLOOKUP(Append1[[#This Row],[sku_type_sap]],Лист1!A:G,3,0)</f>
        <v>0.47299999999999998</v>
      </c>
      <c r="D70" s="1" t="str">
        <f>VLOOKUP(Append1[[#This Row],[sku_type_sap]],Лист1!A:G,4,0)</f>
        <v>PET</v>
      </c>
      <c r="E70" s="1" t="str">
        <f>VLOOKUP(Append1[[#This Row],[sku_type_sap]],Лист1!A:G,5,0)</f>
        <v>TORNADO MAX 0,473 PET</v>
      </c>
    </row>
    <row r="71" spans="1:5" x14ac:dyDescent="0.25">
      <c r="A71" s="1" t="s">
        <v>106</v>
      </c>
      <c r="B71" s="1" t="str">
        <f>VLOOKUP(Append1[[#This Row],[sku_type_sap]],Лист1!A:G,2,0)</f>
        <v>TORNADO MAX</v>
      </c>
      <c r="C71" s="1">
        <f>VLOOKUP(Append1[[#This Row],[sku_type_sap]],Лист1!A:G,3,0)</f>
        <v>0.47299999999999998</v>
      </c>
      <c r="D71" s="1" t="str">
        <f>VLOOKUP(Append1[[#This Row],[sku_type_sap]],Лист1!A:G,4,0)</f>
        <v>PET</v>
      </c>
      <c r="E71" s="1" t="str">
        <f>VLOOKUP(Append1[[#This Row],[sku_type_sap]],Лист1!A:G,5,0)</f>
        <v>TORNADO MAX 0,473 PET</v>
      </c>
    </row>
    <row r="72" spans="1:5" x14ac:dyDescent="0.25">
      <c r="A72" s="1" t="s">
        <v>105</v>
      </c>
      <c r="B72" s="1" t="str">
        <f>VLOOKUP(Append1[[#This Row],[sku_type_sap]],Лист1!A:G,2,0)</f>
        <v>TORNADO</v>
      </c>
      <c r="C72" s="1">
        <f>VLOOKUP(Append1[[#This Row],[sku_type_sap]],Лист1!A:G,3,0)</f>
        <v>1</v>
      </c>
      <c r="D72" s="1" t="str">
        <f>VLOOKUP(Append1[[#This Row],[sku_type_sap]],Лист1!A:G,4,0)</f>
        <v>PET</v>
      </c>
      <c r="E72" s="1" t="str">
        <f>VLOOKUP(Append1[[#This Row],[sku_type_sap]],Лист1!A:G,5,0)</f>
        <v>TORNADO 1 PET</v>
      </c>
    </row>
    <row r="73" spans="1:5" x14ac:dyDescent="0.25">
      <c r="A73" s="1" t="s">
        <v>107</v>
      </c>
      <c r="B73" s="1" t="str">
        <f>VLOOKUP(Append1[[#This Row],[sku_type_sap]],Лист1!A:G,2,0)</f>
        <v>TORNADO MAX</v>
      </c>
      <c r="C73" s="1">
        <f>VLOOKUP(Append1[[#This Row],[sku_type_sap]],Лист1!A:G,3,0)</f>
        <v>0.45</v>
      </c>
      <c r="D73" s="1" t="str">
        <f>VLOOKUP(Append1[[#This Row],[sku_type_sap]],Лист1!A:G,4,0)</f>
        <v>CAN</v>
      </c>
      <c r="E73" s="1" t="str">
        <f>VLOOKUP(Append1[[#This Row],[sku_type_sap]],Лист1!A:G,5,0)</f>
        <v>TORNADO MAX 0,45 CAN</v>
      </c>
    </row>
    <row r="74" spans="1:5" x14ac:dyDescent="0.25">
      <c r="A74" s="1" t="s">
        <v>104</v>
      </c>
      <c r="B74" s="1" t="str">
        <f>VLOOKUP(Append1[[#This Row],[sku_type_sap]],Лист1!A:G,2,0)</f>
        <v>TORNADO</v>
      </c>
      <c r="C74" s="1">
        <f>VLOOKUP(Append1[[#This Row],[sku_type_sap]],Лист1!A:G,3,0)</f>
        <v>0.45</v>
      </c>
      <c r="D74" s="1" t="str">
        <f>VLOOKUP(Append1[[#This Row],[sku_type_sap]],Лист1!A:G,4,0)</f>
        <v>CAN</v>
      </c>
      <c r="E74" s="1" t="str">
        <f>VLOOKUP(Append1[[#This Row],[sku_type_sap]],Лист1!A:G,5,0)</f>
        <v>TORNADO 0,45 CAN</v>
      </c>
    </row>
    <row r="75" spans="1:5" x14ac:dyDescent="0.25">
      <c r="A75" s="1" t="s">
        <v>104</v>
      </c>
      <c r="B75" s="1" t="str">
        <f>VLOOKUP(Append1[[#This Row],[sku_type_sap]],Лист1!A:G,2,0)</f>
        <v>TORNADO</v>
      </c>
      <c r="C75" s="1">
        <f>VLOOKUP(Append1[[#This Row],[sku_type_sap]],Лист1!A:G,3,0)</f>
        <v>0.45</v>
      </c>
      <c r="D75" s="1" t="str">
        <f>VLOOKUP(Append1[[#This Row],[sku_type_sap]],Лист1!A:G,4,0)</f>
        <v>CAN</v>
      </c>
      <c r="E75" s="1" t="str">
        <f>VLOOKUP(Append1[[#This Row],[sku_type_sap]],Лист1!A:G,5,0)</f>
        <v>TORNADO 0,45 CAN</v>
      </c>
    </row>
    <row r="76" spans="1:5" x14ac:dyDescent="0.25">
      <c r="A76" s="1" t="s">
        <v>105</v>
      </c>
      <c r="B76" s="1" t="str">
        <f>VLOOKUP(Append1[[#This Row],[sku_type_sap]],Лист1!A:G,2,0)</f>
        <v>TORNADO</v>
      </c>
      <c r="C76" s="1">
        <f>VLOOKUP(Append1[[#This Row],[sku_type_sap]],Лист1!A:G,3,0)</f>
        <v>1</v>
      </c>
      <c r="D76" s="1" t="str">
        <f>VLOOKUP(Append1[[#This Row],[sku_type_sap]],Лист1!A:G,4,0)</f>
        <v>PET</v>
      </c>
      <c r="E76" s="1" t="str">
        <f>VLOOKUP(Append1[[#This Row],[sku_type_sap]],Лист1!A:G,5,0)</f>
        <v>TORNADO 1 PET</v>
      </c>
    </row>
    <row r="77" spans="1:5" x14ac:dyDescent="0.25">
      <c r="A77" s="1" t="s">
        <v>106</v>
      </c>
      <c r="B77" s="1" t="str">
        <f>VLOOKUP(Append1[[#This Row],[sku_type_sap]],Лист1!A:G,2,0)</f>
        <v>TORNADO MAX</v>
      </c>
      <c r="C77" s="1">
        <f>VLOOKUP(Append1[[#This Row],[sku_type_sap]],Лист1!A:G,3,0)</f>
        <v>0.47299999999999998</v>
      </c>
      <c r="D77" s="1" t="str">
        <f>VLOOKUP(Append1[[#This Row],[sku_type_sap]],Лист1!A:G,4,0)</f>
        <v>PET</v>
      </c>
      <c r="E77" s="1" t="str">
        <f>VLOOKUP(Append1[[#This Row],[sku_type_sap]],Лист1!A:G,5,0)</f>
        <v>TORNADO MAX 0,473 PET</v>
      </c>
    </row>
    <row r="78" spans="1:5" x14ac:dyDescent="0.25">
      <c r="A78" s="1" t="s">
        <v>15</v>
      </c>
      <c r="B78" s="1" t="str">
        <f>VLOOKUP(Append1[[#This Row],[sku_type_sap]],Лист1!A:G,2,0)</f>
        <v>ИЛ</v>
      </c>
      <c r="C78" s="1">
        <f>VLOOKUP(Append1[[#This Row],[sku_type_sap]],Лист1!A:G,3,0)</f>
        <v>1.42</v>
      </c>
      <c r="D78" s="1" t="str">
        <f>VLOOKUP(Append1[[#This Row],[sku_type_sap]],Лист1!A:G,4,0)</f>
        <v>PET</v>
      </c>
      <c r="E78" s="1" t="str">
        <f>VLOOKUP(Append1[[#This Row],[sku_type_sap]],Лист1!A:G,5,0)</f>
        <v>ИЛ 1,42 PET</v>
      </c>
    </row>
    <row r="79" spans="1:5" x14ac:dyDescent="0.25">
      <c r="A79" s="1" t="s">
        <v>14</v>
      </c>
      <c r="B79" s="1" t="str">
        <f>VLOOKUP(Append1[[#This Row],[sku_type_sap]],Лист1!A:G,2,0)</f>
        <v>ИЛ</v>
      </c>
      <c r="C79" s="1">
        <f>VLOOKUP(Append1[[#This Row],[sku_type_sap]],Лист1!A:G,3,0)</f>
        <v>0.48</v>
      </c>
      <c r="D79" s="1" t="str">
        <f>VLOOKUP(Append1[[#This Row],[sku_type_sap]],Лист1!A:G,4,0)</f>
        <v>PET</v>
      </c>
      <c r="E79" s="1" t="str">
        <f>VLOOKUP(Append1[[#This Row],[sku_type_sap]],Лист1!A:G,5,0)</f>
        <v>ИЛ 0,48 PET</v>
      </c>
    </row>
    <row r="80" spans="1:5" x14ac:dyDescent="0.25">
      <c r="A80" s="1" t="s">
        <v>101</v>
      </c>
      <c r="B80" s="1" t="str">
        <f>VLOOKUP(Append1[[#This Row],[sku_type_sap]],Лист1!A:G,2,0)</f>
        <v>FRESH BAR</v>
      </c>
      <c r="C80" s="1">
        <f>VLOOKUP(Append1[[#This Row],[sku_type_sap]],Лист1!A:G,3,0)</f>
        <v>0.45</v>
      </c>
      <c r="D80" s="1" t="str">
        <f>VLOOKUP(Append1[[#This Row],[sku_type_sap]],Лист1!A:G,4,0)</f>
        <v>CAN</v>
      </c>
      <c r="E80" s="1" t="str">
        <f>VLOOKUP(Append1[[#This Row],[sku_type_sap]],Лист1!A:G,5,0)</f>
        <v>FRESH BAR 0,45 CAN</v>
      </c>
    </row>
    <row r="81" spans="1:5" x14ac:dyDescent="0.25">
      <c r="A81" s="1" t="s">
        <v>103</v>
      </c>
      <c r="B81" s="1" t="str">
        <f>VLOOKUP(Append1[[#This Row],[sku_type_sap]],Лист1!A:G,2,0)</f>
        <v>FRESH BAR</v>
      </c>
      <c r="C81" s="1">
        <f>VLOOKUP(Append1[[#This Row],[sku_type_sap]],Лист1!A:G,3,0)</f>
        <v>1.5</v>
      </c>
      <c r="D81" s="1" t="str">
        <f>VLOOKUP(Append1[[#This Row],[sku_type_sap]],Лист1!A:G,4,0)</f>
        <v>PET</v>
      </c>
      <c r="E81" s="1" t="str">
        <f>VLOOKUP(Append1[[#This Row],[sku_type_sap]],Лист1!A:G,5,0)</f>
        <v>FRESH BAR 1,5 PET</v>
      </c>
    </row>
    <row r="82" spans="1:5" x14ac:dyDescent="0.25">
      <c r="A82" s="1" t="s">
        <v>99</v>
      </c>
      <c r="B82" s="1" t="str">
        <f>VLOOKUP(Append1[[#This Row],[sku_type_sap]],Лист1!A:G,2,0)</f>
        <v>COLA BY FRESH BAR</v>
      </c>
      <c r="C82" s="1">
        <f>VLOOKUP(Append1[[#This Row],[sku_type_sap]],Лист1!A:G,3,0)</f>
        <v>1.5</v>
      </c>
      <c r="D82" s="1" t="str">
        <f>VLOOKUP(Append1[[#This Row],[sku_type_sap]],Лист1!A:G,4,0)</f>
        <v>PET</v>
      </c>
      <c r="E82" s="1" t="str">
        <f>VLOOKUP(Append1[[#This Row],[sku_type_sap]],Лист1!A:G,5,0)</f>
        <v>COLA BY FRESH BAR 1,5 PET</v>
      </c>
    </row>
    <row r="83" spans="1:5" x14ac:dyDescent="0.25">
      <c r="A83" s="1" t="s">
        <v>100</v>
      </c>
      <c r="B83" s="1" t="str">
        <f>VLOOKUP(Append1[[#This Row],[sku_type_sap]],Лист1!A:G,2,0)</f>
        <v>COLA BY FRESH BAR</v>
      </c>
      <c r="C83" s="1">
        <f>VLOOKUP(Append1[[#This Row],[sku_type_sap]],Лист1!A:G,3,0)</f>
        <v>0.45</v>
      </c>
      <c r="D83" s="1" t="str">
        <f>VLOOKUP(Append1[[#This Row],[sku_type_sap]],Лист1!A:G,4,0)</f>
        <v>CAN</v>
      </c>
      <c r="E83" s="1" t="str">
        <f>VLOOKUP(Append1[[#This Row],[sku_type_sap]],Лист1!A:G,5,0)</f>
        <v>COLA BY FRESH BAR 0,45 CAN</v>
      </c>
    </row>
    <row r="84" spans="1:5" x14ac:dyDescent="0.25">
      <c r="A84" s="1" t="s">
        <v>107</v>
      </c>
      <c r="B84" s="1" t="str">
        <f>VLOOKUP(Append1[[#This Row],[sku_type_sap]],Лист1!A:G,2,0)</f>
        <v>TORNADO MAX</v>
      </c>
      <c r="C84" s="1">
        <f>VLOOKUP(Append1[[#This Row],[sku_type_sap]],Лист1!A:G,3,0)</f>
        <v>0.45</v>
      </c>
      <c r="D84" s="1" t="str">
        <f>VLOOKUP(Append1[[#This Row],[sku_type_sap]],Лист1!A:G,4,0)</f>
        <v>CAN</v>
      </c>
      <c r="E84" s="1" t="str">
        <f>VLOOKUP(Append1[[#This Row],[sku_type_sap]],Лист1!A:G,5,0)</f>
        <v>TORNADO MAX 0,45 CAN</v>
      </c>
    </row>
    <row r="85" spans="1:5" x14ac:dyDescent="0.25">
      <c r="A85" s="1" t="s">
        <v>108</v>
      </c>
      <c r="B85" s="1" t="str">
        <f>VLOOKUP(Append1[[#This Row],[sku_type_sap]],Лист1!A:G,2,0)</f>
        <v>FRESH BAR</v>
      </c>
      <c r="C85" s="1">
        <f>VLOOKUP(Append1[[#This Row],[sku_type_sap]],Лист1!A:G,3,0)</f>
        <v>1</v>
      </c>
      <c r="D85" s="1" t="str">
        <f>VLOOKUP(Append1[[#This Row],[sku_type_sap]],Лист1!A:G,4,0)</f>
        <v>PET</v>
      </c>
      <c r="E85" s="1" t="str">
        <f>VLOOKUP(Append1[[#This Row],[sku_type_sap]],Лист1!A:G,5,0)</f>
        <v>FRESH BAR 1 PET</v>
      </c>
    </row>
    <row r="86" spans="1:5" x14ac:dyDescent="0.25">
      <c r="A86" s="1" t="s">
        <v>106</v>
      </c>
      <c r="B86" s="1" t="str">
        <f>VLOOKUP(Append1[[#This Row],[sku_type_sap]],Лист1!A:G,2,0)</f>
        <v>TORNADO MAX</v>
      </c>
      <c r="C86" s="1">
        <f>VLOOKUP(Append1[[#This Row],[sku_type_sap]],Лист1!A:G,3,0)</f>
        <v>0.47299999999999998</v>
      </c>
      <c r="D86" s="1" t="str">
        <f>VLOOKUP(Append1[[#This Row],[sku_type_sap]],Лист1!A:G,4,0)</f>
        <v>PET</v>
      </c>
      <c r="E86" s="1" t="str">
        <f>VLOOKUP(Append1[[#This Row],[sku_type_sap]],Лист1!A:G,5,0)</f>
        <v>TORNADO MAX 0,473 PET</v>
      </c>
    </row>
    <row r="87" spans="1:5" x14ac:dyDescent="0.25">
      <c r="A87" s="1" t="s">
        <v>109</v>
      </c>
      <c r="B87" s="1" t="s">
        <v>53</v>
      </c>
      <c r="C87" s="1">
        <v>0.33</v>
      </c>
      <c r="D87" s="1" t="s">
        <v>48</v>
      </c>
      <c r="E87" s="1" t="s">
        <v>116</v>
      </c>
    </row>
    <row r="88" spans="1:5" x14ac:dyDescent="0.25">
      <c r="A88" s="1" t="s">
        <v>42</v>
      </c>
      <c r="B88" s="1" t="str">
        <f>VLOOKUP(Append1[[#This Row],[sku_type_sap]],Лист1!A:G,2,0)</f>
        <v>TORNADO MAX</v>
      </c>
      <c r="C88" s="1">
        <f>VLOOKUP(Append1[[#This Row],[sku_type_sap]],Лист1!A:G,3,0)</f>
        <v>0.45</v>
      </c>
      <c r="D88" s="1" t="str">
        <f>VLOOKUP(Append1[[#This Row],[sku_type_sap]],Лист1!A:G,4,0)</f>
        <v>CAN</v>
      </c>
      <c r="E88" s="1" t="str">
        <f>VLOOKUP(Append1[[#This Row],[sku_type_sap]],Лист1!A:G,5,0)</f>
        <v>TORNADO MAX 0,45 CAN</v>
      </c>
    </row>
    <row r="89" spans="1:5" x14ac:dyDescent="0.25">
      <c r="A89" s="1" t="s">
        <v>7</v>
      </c>
      <c r="B89" s="1" t="str">
        <f>VLOOKUP(Append1[[#This Row],[sku_type_sap]],Лист1!A:G,2,0)</f>
        <v>FRESH BAR</v>
      </c>
      <c r="C89" s="1">
        <f>VLOOKUP(Append1[[#This Row],[sku_type_sap]],Лист1!A:G,3,0)</f>
        <v>0.45</v>
      </c>
      <c r="D89" s="1" t="str">
        <f>VLOOKUP(Append1[[#This Row],[sku_type_sap]],Лист1!A:G,4,0)</f>
        <v>CAN</v>
      </c>
      <c r="E89" s="1" t="str">
        <f>VLOOKUP(Append1[[#This Row],[sku_type_sap]],Лист1!A:G,5,0)</f>
        <v>FRESH BAR 0,45 CAN</v>
      </c>
    </row>
    <row r="90" spans="1:5" x14ac:dyDescent="0.25">
      <c r="A90" s="1" t="s">
        <v>111</v>
      </c>
      <c r="B90" s="1" t="str">
        <f>VLOOKUP(Append1[[#This Row],[sku_type_sap]],Лист1!A:G,2,0)</f>
        <v>FRESH BAR</v>
      </c>
      <c r="C90" s="1">
        <f>VLOOKUP(Append1[[#This Row],[sku_type_sap]],Лист1!A:G,3,0)</f>
        <v>1.5</v>
      </c>
      <c r="D90" s="1" t="str">
        <f>VLOOKUP(Append1[[#This Row],[sku_type_sap]],Лист1!A:G,4,0)</f>
        <v>PET</v>
      </c>
      <c r="E90" s="1" t="str">
        <f>VLOOKUP(Append1[[#This Row],[sku_type_sap]],Лист1!A:G,5,0)</f>
        <v>FRESH BAR 1,5 PET</v>
      </c>
    </row>
    <row r="91" spans="1:5" x14ac:dyDescent="0.25">
      <c r="A91" s="1" t="s">
        <v>12</v>
      </c>
      <c r="B91" s="1" t="str">
        <f>VLOOKUP(Append1[[#This Row],[sku_type_sap]],Лист1!A:G,2,0)</f>
        <v>TORNADO</v>
      </c>
      <c r="C91" s="1">
        <f>VLOOKUP(Append1[[#This Row],[sku_type_sap]],Лист1!A:G,3,0)</f>
        <v>1</v>
      </c>
      <c r="D91" s="1" t="str">
        <f>VLOOKUP(Append1[[#This Row],[sku_type_sap]],Лист1!A:G,4,0)</f>
        <v>PET</v>
      </c>
      <c r="E91" s="1" t="str">
        <f>VLOOKUP(Append1[[#This Row],[sku_type_sap]],Лист1!A:G,5,0)</f>
        <v>TORNADO 1 PET</v>
      </c>
    </row>
    <row r="92" spans="1:5" x14ac:dyDescent="0.25">
      <c r="A92" s="1" t="s">
        <v>112</v>
      </c>
      <c r="B92" s="1" t="str">
        <f>VLOOKUP(Append1[[#This Row],[sku_type_sap]],Лист1!A:G,2,0)</f>
        <v>COLA BY FRESH BAR</v>
      </c>
      <c r="C92" s="1">
        <f>VLOOKUP(Append1[[#This Row],[sku_type_sap]],Лист1!A:G,3,0)</f>
        <v>0.48</v>
      </c>
      <c r="D92" s="1" t="str">
        <f>VLOOKUP(Append1[[#This Row],[sku_type_sap]],Лист1!A:G,4,0)</f>
        <v>PET</v>
      </c>
      <c r="E92" s="1" t="str">
        <f>VLOOKUP(Append1[[#This Row],[sku_type_sap]],Лист1!A:G,5,0)</f>
        <v>COLA BY FRESH BAR 0,48 PET</v>
      </c>
    </row>
    <row r="93" spans="1:5" x14ac:dyDescent="0.25">
      <c r="A93" s="1" t="s">
        <v>5</v>
      </c>
      <c r="B93" s="1" t="str">
        <f>VLOOKUP(Append1[[#This Row],[sku_type_sap]],Лист1!A:G,2,0)</f>
        <v>E-ON</v>
      </c>
      <c r="C93" s="1">
        <f>VLOOKUP(Append1[[#This Row],[sku_type_sap]],Лист1!A:G,3,0)</f>
        <v>0.45</v>
      </c>
      <c r="D93" s="1" t="str">
        <f>VLOOKUP(Append1[[#This Row],[sku_type_sap]],Лист1!A:G,4,0)</f>
        <v>CAN</v>
      </c>
      <c r="E93" s="1" t="str">
        <f>VLOOKUP(Append1[[#This Row],[sku_type_sap]],Лист1!A:G,5,0)</f>
        <v>E-ON 0,45 CAN</v>
      </c>
    </row>
    <row r="94" spans="1:5" x14ac:dyDescent="0.25">
      <c r="A94" s="1" t="s">
        <v>9</v>
      </c>
      <c r="B94" s="1" t="str">
        <f>VLOOKUP(Append1[[#This Row],[sku_type_sap]],Лист1!A:G,2,0)</f>
        <v>FRESH BAR</v>
      </c>
      <c r="C94" s="1">
        <f>VLOOKUP(Append1[[#This Row],[sku_type_sap]],Лист1!A:G,3,0)</f>
        <v>1.5</v>
      </c>
      <c r="D94" s="1" t="str">
        <f>VLOOKUP(Append1[[#This Row],[sku_type_sap]],Лист1!A:G,4,0)</f>
        <v>PET</v>
      </c>
      <c r="E94" s="1" t="str">
        <f>VLOOKUP(Append1[[#This Row],[sku_type_sap]],Лист1!A:G,5,0)</f>
        <v>FRESH BAR 1,5 PET</v>
      </c>
    </row>
    <row r="95" spans="1:5" x14ac:dyDescent="0.25">
      <c r="A95" s="1" t="s">
        <v>10</v>
      </c>
      <c r="B95" s="1" t="str">
        <f>VLOOKUP(Append1[[#This Row],[sku_type_sap]],Лист1!A:G,2,0)</f>
        <v>TORNADO</v>
      </c>
      <c r="C95" s="1">
        <f>VLOOKUP(Append1[[#This Row],[sku_type_sap]],Лист1!A:G,3,0)</f>
        <v>0.45</v>
      </c>
      <c r="D95" s="1" t="str">
        <f>VLOOKUP(Append1[[#This Row],[sku_type_sap]],Лист1!A:G,4,0)</f>
        <v>CAN</v>
      </c>
      <c r="E95" s="1" t="str">
        <f>VLOOKUP(Append1[[#This Row],[sku_type_sap]],Лист1!A:G,5,0)</f>
        <v>TORNADO 0,45 CAN</v>
      </c>
    </row>
    <row r="96" spans="1:5" x14ac:dyDescent="0.25">
      <c r="A96" s="1" t="s">
        <v>113</v>
      </c>
      <c r="B96" s="1" t="str">
        <f>VLOOKUP(Append1[[#This Row],[sku_type_sap]],Лист1!A:G,2,0)</f>
        <v>COLA BY FRESH BAR</v>
      </c>
      <c r="C96" s="1">
        <f>VLOOKUP(Append1[[#This Row],[sku_type_sap]],Лист1!A:G,3,0)</f>
        <v>1.5</v>
      </c>
      <c r="D96" s="1" t="str">
        <f>VLOOKUP(Append1[[#This Row],[sku_type_sap]],Лист1!A:G,4,0)</f>
        <v>PET</v>
      </c>
      <c r="E96" s="1" t="str">
        <f>VLOOKUP(Append1[[#This Row],[sku_type_sap]],Лист1!A:G,5,0)</f>
        <v>COLA BY FRESH BAR 1,5 PET</v>
      </c>
    </row>
    <row r="97" spans="1:5" x14ac:dyDescent="0.25">
      <c r="A97" s="1" t="s">
        <v>114</v>
      </c>
      <c r="B97" s="1" t="str">
        <f>VLOOKUP(Append1[[#This Row],[sku_type_sap]],Лист1!A:G,2,0)</f>
        <v>COLA BY FRESH BAR</v>
      </c>
      <c r="C97" s="1">
        <f>VLOOKUP(Append1[[#This Row],[sku_type_sap]],Лист1!A:G,3,0)</f>
        <v>0.45</v>
      </c>
      <c r="D97" s="1" t="str">
        <f>VLOOKUP(Append1[[#This Row],[sku_type_sap]],Лист1!A:G,4,0)</f>
        <v>CAN</v>
      </c>
      <c r="E97" s="1" t="str">
        <f>VLOOKUP(Append1[[#This Row],[sku_type_sap]],Лист1!A:G,5,0)</f>
        <v>COLA BY FRESH BAR 0,45 CAN</v>
      </c>
    </row>
    <row r="98" spans="1:5" x14ac:dyDescent="0.25">
      <c r="A98" s="1" t="s">
        <v>115</v>
      </c>
      <c r="B98" s="1" t="str">
        <f>VLOOKUP(Append1[[#This Row],[sku_type_sap]],Лист1!A:G,2,0)</f>
        <v>COLA BY FRESH BAR</v>
      </c>
      <c r="C98" s="1">
        <f>VLOOKUP(Append1[[#This Row],[sku_type_sap]],Лист1!A:G,3,0)</f>
        <v>1.5</v>
      </c>
      <c r="D98" s="1" t="str">
        <f>VLOOKUP(Append1[[#This Row],[sku_type_sap]],Лист1!A:G,4,0)</f>
        <v>PET</v>
      </c>
      <c r="E98" s="1" t="str">
        <f>VLOOKUP(Append1[[#This Row],[sku_type_sap]],Лист1!A:G,5,0)</f>
        <v>COLA BY FRESH BAR 1,5 PET</v>
      </c>
    </row>
    <row r="99" spans="1:5" x14ac:dyDescent="0.25">
      <c r="A99" s="1" t="s">
        <v>34</v>
      </c>
      <c r="B99" s="1" t="str">
        <f>VLOOKUP(Append1[[#This Row],[sku_type_sap]],Лист1!A:G,2,0)</f>
        <v>FRESH BAR</v>
      </c>
      <c r="C99" s="1">
        <f>VLOOKUP(Append1[[#This Row],[sku_type_sap]],Лист1!A:G,3,0)</f>
        <v>1</v>
      </c>
      <c r="D99" s="1" t="str">
        <f>VLOOKUP(Append1[[#This Row],[sku_type_sap]],Лист1!A:G,4,0)</f>
        <v>PET</v>
      </c>
      <c r="E99" s="1" t="str">
        <f>VLOOKUP(Append1[[#This Row],[sku_type_sap]],Лист1!A:G,5,0)</f>
        <v>FRESH BAR 1 PET</v>
      </c>
    </row>
    <row r="100" spans="1:5" x14ac:dyDescent="0.25">
      <c r="A100" s="1" t="s">
        <v>11</v>
      </c>
      <c r="B100" s="1" t="str">
        <f>VLOOKUP(Append1[[#This Row],[sku_type_sap]],Лист1!A:G,2,0)</f>
        <v>TORNADO</v>
      </c>
      <c r="C100" s="1">
        <f>VLOOKUP(Append1[[#This Row],[sku_type_sap]],Лист1!A:G,3,0)</f>
        <v>0.47299999999999998</v>
      </c>
      <c r="D100" s="1" t="str">
        <f>VLOOKUP(Append1[[#This Row],[sku_type_sap]],Лист1!A:G,4,0)</f>
        <v>PET</v>
      </c>
      <c r="E100" s="1" t="str">
        <f>VLOOKUP(Append1[[#This Row],[sku_type_sap]],Лист1!A:G,5,0)</f>
        <v>TORNADO 0,473 PET</v>
      </c>
    </row>
    <row r="101" spans="1:5" x14ac:dyDescent="0.25">
      <c r="A101" s="1" t="s">
        <v>110</v>
      </c>
      <c r="B101" s="1" t="s">
        <v>53</v>
      </c>
      <c r="C101" s="1">
        <f>VLOOKUP(Append1[[#This Row],[sku_type_sap]],Лист1!A:G,3,0)</f>
        <v>0.33</v>
      </c>
      <c r="D101" s="1" t="str">
        <f>VLOOKUP(Append1[[#This Row],[sku_type_sap]],Лист1!A:G,4,0)</f>
        <v>CAN</v>
      </c>
      <c r="E101" s="1" t="str">
        <f>VLOOKUP(Append1[[#This Row],[sku_type_sap]],Лист1!A:G,5,0)</f>
        <v>TORNADO MAX 0,33 CAN</v>
      </c>
    </row>
    <row r="102" spans="1:5" x14ac:dyDescent="0.25">
      <c r="A102" s="1" t="s">
        <v>7</v>
      </c>
      <c r="B102" s="1" t="str">
        <f>VLOOKUP(Append1[[#This Row],[sku_type_sap]],Лист1!A:G,2,0)</f>
        <v>FRESH BAR</v>
      </c>
      <c r="C102" s="1">
        <f>VLOOKUP(Append1[[#This Row],[sku_type_sap]],Лист1!A:G,3,0)</f>
        <v>0.45</v>
      </c>
      <c r="D102" s="1" t="str">
        <f>VLOOKUP(Append1[[#This Row],[sku_type_sap]],Лист1!A:G,4,0)</f>
        <v>CAN</v>
      </c>
      <c r="E102" s="1" t="str">
        <f>VLOOKUP(Append1[[#This Row],[sku_type_sap]],Лист1!A:G,5,0)</f>
        <v>FRESH BAR 0,45 CAN</v>
      </c>
    </row>
    <row r="103" spans="1:5" x14ac:dyDescent="0.25">
      <c r="A103" s="1" t="s">
        <v>8</v>
      </c>
      <c r="B103" s="1" t="str">
        <f>VLOOKUP(Append1[[#This Row],[sku_type_sap]],Лист1!A:G,2,0)</f>
        <v>FRESH BAR</v>
      </c>
      <c r="C103" s="1">
        <f>VLOOKUP(Append1[[#This Row],[sku_type_sap]],Лист1!A:G,3,0)</f>
        <v>0.48</v>
      </c>
      <c r="D103" s="1" t="str">
        <f>VLOOKUP(Append1[[#This Row],[sku_type_sap]],Лист1!A:G,4,0)</f>
        <v>PET</v>
      </c>
      <c r="E103" s="1" t="str">
        <f>VLOOKUP(Append1[[#This Row],[sku_type_sap]],Лист1!A:G,5,0)</f>
        <v>FRESH BAR 0,48 PET</v>
      </c>
    </row>
    <row r="104" spans="1:5" x14ac:dyDescent="0.25">
      <c r="A104" s="1" t="s">
        <v>117</v>
      </c>
      <c r="B104" s="1" t="str">
        <f>VLOOKUP(Append1[[#This Row],[sku_type_sap]],Лист1!A:G,2,0)</f>
        <v>FRESH BAR</v>
      </c>
      <c r="C104" s="1">
        <f>VLOOKUP(Append1[[#This Row],[sku_type_sap]],Лист1!A:G,3,0)</f>
        <v>1</v>
      </c>
      <c r="D104" s="1" t="str">
        <f>VLOOKUP(Append1[[#This Row],[sku_type_sap]],Лист1!A:G,4,0)</f>
        <v>PET</v>
      </c>
      <c r="E104" s="1" t="str">
        <f>VLOOKUP(Append1[[#This Row],[sku_type_sap]],Лист1!A:G,5,0)</f>
        <v>FRESH BAR 1 PET</v>
      </c>
    </row>
    <row r="105" spans="1:5" x14ac:dyDescent="0.25">
      <c r="A105" s="1" t="s">
        <v>118</v>
      </c>
      <c r="B105" s="1" t="str">
        <f>VLOOKUP(Append1[[#This Row],[sku_type_sap]],Лист1!A:G,2,0)</f>
        <v>FRESH BAR</v>
      </c>
      <c r="C105" s="1">
        <f>VLOOKUP(Append1[[#This Row],[sku_type_sap]],Лист1!A:G,3,0)</f>
        <v>1.5</v>
      </c>
      <c r="D105" s="1" t="str">
        <f>VLOOKUP(Append1[[#This Row],[sku_type_sap]],Лист1!A:G,4,0)</f>
        <v>PET</v>
      </c>
      <c r="E105" s="1" t="str">
        <f>VLOOKUP(Append1[[#This Row],[sku_type_sap]],Лист1!A:G,5,0)</f>
        <v>FRESH BAR 1,5 PET</v>
      </c>
    </row>
    <row r="106" spans="1:5" x14ac:dyDescent="0.25">
      <c r="A106" s="1" t="s">
        <v>26</v>
      </c>
      <c r="B106" s="1" t="str">
        <f>VLOOKUP(Append1[[#This Row],[sku_type_sap]],Лист1!A:G,2,0)</f>
        <v>TORNADO MAX</v>
      </c>
      <c r="C106" s="1">
        <f>VLOOKUP(Append1[[#This Row],[sku_type_sap]],Лист1!A:G,3,0)</f>
        <v>0.45</v>
      </c>
      <c r="D106" s="1" t="str">
        <f>VLOOKUP(Append1[[#This Row],[sku_type_sap]],Лист1!A:G,4,0)</f>
        <v>CAN</v>
      </c>
      <c r="E106" s="1" t="str">
        <f>VLOOKUP(Append1[[#This Row],[sku_type_sap]],Лист1!A:G,5,0)</f>
        <v>TORNADO MAX 0,45 CAN</v>
      </c>
    </row>
    <row r="107" spans="1:5" x14ac:dyDescent="0.25">
      <c r="A107" s="1" t="s">
        <v>27</v>
      </c>
      <c r="B107" s="1" t="str">
        <f>VLOOKUP(Append1[[#This Row],[sku_type_sap]],Лист1!A:G,2,0)</f>
        <v>TORNADO MAX</v>
      </c>
      <c r="C107" s="1">
        <f>VLOOKUP(Append1[[#This Row],[sku_type_sap]],Лист1!A:G,3,0)</f>
        <v>0.47299999999999998</v>
      </c>
      <c r="D107" s="1" t="str">
        <f>VLOOKUP(Append1[[#This Row],[sku_type_sap]],Лист1!A:G,4,0)</f>
        <v>PET</v>
      </c>
      <c r="E107" s="1" t="str">
        <f>VLOOKUP(Append1[[#This Row],[sku_type_sap]],Лист1!A:G,5,0)</f>
        <v>TORNADO MAX 0,473 PET</v>
      </c>
    </row>
    <row r="108" spans="1:5" x14ac:dyDescent="0.25">
      <c r="A108" s="1" t="s">
        <v>12</v>
      </c>
      <c r="B108" s="1" t="str">
        <f>VLOOKUP(Append1[[#This Row],[sku_type_sap]],Лист1!A:G,2,0)</f>
        <v>TORNADO</v>
      </c>
      <c r="C108" s="1">
        <f>VLOOKUP(Append1[[#This Row],[sku_type_sap]],Лист1!A:G,3,0)</f>
        <v>1</v>
      </c>
      <c r="D108" s="1" t="str">
        <f>VLOOKUP(Append1[[#This Row],[sku_type_sap]],Лист1!A:G,4,0)</f>
        <v>PET</v>
      </c>
      <c r="E108" s="1" t="str">
        <f>VLOOKUP(Append1[[#This Row],[sku_type_sap]],Лист1!A:G,5,0)</f>
        <v>TORNADO 1 PET</v>
      </c>
    </row>
    <row r="109" spans="1:5" x14ac:dyDescent="0.25">
      <c r="A109" s="1" t="s">
        <v>119</v>
      </c>
      <c r="B109" s="1" t="str">
        <f>VLOOKUP(Append1[[#This Row],[sku_type_sap]],Лист1!A:G,2,0)</f>
        <v>TORNADO MAX</v>
      </c>
      <c r="C109" s="1">
        <f>VLOOKUP(Append1[[#This Row],[sku_type_sap]],Лист1!A:G,3,0)</f>
        <v>0.33</v>
      </c>
      <c r="D109" s="1" t="str">
        <f>VLOOKUP(Append1[[#This Row],[sku_type_sap]],Лист1!A:G,4,0)</f>
        <v>CAN</v>
      </c>
      <c r="E109" s="1" t="str">
        <f>VLOOKUP(Append1[[#This Row],[sku_type_sap]],Лист1!A:G,5,0)</f>
        <v>TORNADO MAX 0,33 CAN</v>
      </c>
    </row>
    <row r="110" spans="1:5" x14ac:dyDescent="0.25">
      <c r="A110" s="1" t="s">
        <v>120</v>
      </c>
      <c r="B110" s="1" t="str">
        <f>VLOOKUP(Append1[[#This Row],[sku_type_sap]],Лист1!A:G,2,0)</f>
        <v>COLA BY FRESH BAR</v>
      </c>
      <c r="C110" s="1">
        <f>VLOOKUP(Append1[[#This Row],[sku_type_sap]],Лист1!A:G,3,0)</f>
        <v>0.48</v>
      </c>
      <c r="D110" s="1" t="str">
        <f>VLOOKUP(Append1[[#This Row],[sku_type_sap]],Лист1!A:G,4,0)</f>
        <v>PET</v>
      </c>
      <c r="E110" s="1" t="str">
        <f>VLOOKUP(Append1[[#This Row],[sku_type_sap]],Лист1!A:G,5,0)</f>
        <v>COLA BY FRESH BAR 0,48 PET</v>
      </c>
    </row>
    <row r="111" spans="1:5" x14ac:dyDescent="0.25">
      <c r="A111" s="1" t="s">
        <v>121</v>
      </c>
      <c r="B111" s="1" t="str">
        <f>VLOOKUP(Append1[[#This Row],[sku_type_sap]],Лист1!A:G,2,0)</f>
        <v>COLA BY FRESH BAR</v>
      </c>
      <c r="C111" s="1">
        <f>VLOOKUP(Append1[[#This Row],[sku_type_sap]],Лист1!A:G,3,0)</f>
        <v>0.45</v>
      </c>
      <c r="D111" s="1" t="str">
        <f>VLOOKUP(Append1[[#This Row],[sku_type_sap]],Лист1!A:G,4,0)</f>
        <v>CAN</v>
      </c>
      <c r="E111" s="1" t="str">
        <f>VLOOKUP(Append1[[#This Row],[sku_type_sap]],Лист1!A:G,5,0)</f>
        <v>COLA BY FRESH BAR 0,45 CAN</v>
      </c>
    </row>
    <row r="112" spans="1:5" x14ac:dyDescent="0.25">
      <c r="A112" s="1" t="s">
        <v>122</v>
      </c>
      <c r="B112" s="1" t="str">
        <f>VLOOKUP(Append1[[#This Row],[sku_type_sap]],Лист1!A:G,2,0)</f>
        <v>COLA BY FRESH BAR</v>
      </c>
      <c r="C112" s="1">
        <f>VLOOKUP(Append1[[#This Row],[sku_type_sap]],Лист1!A:G,3,0)</f>
        <v>1.5</v>
      </c>
      <c r="D112" s="1" t="str">
        <f>VLOOKUP(Append1[[#This Row],[sku_type_sap]],Лист1!A:G,4,0)</f>
        <v>PET</v>
      </c>
      <c r="E112" s="1" t="str">
        <f>VLOOKUP(Append1[[#This Row],[sku_type_sap]],Лист1!A:G,5,0)</f>
        <v>COLA BY FRESH BAR 1,5 PET</v>
      </c>
    </row>
    <row r="113" spans="1:5" x14ac:dyDescent="0.25">
      <c r="A113" s="1" t="s">
        <v>7</v>
      </c>
      <c r="B113" s="1" t="str">
        <f>VLOOKUP(Append1[[#This Row],[sku_type_sap]],Лист1!A:G,2,0)</f>
        <v>FRESH BAR</v>
      </c>
      <c r="C113" s="1">
        <f>VLOOKUP(Append1[[#This Row],[sku_type_sap]],Лист1!A:G,3,0)</f>
        <v>0.45</v>
      </c>
      <c r="D113" s="1" t="str">
        <f>VLOOKUP(Append1[[#This Row],[sku_type_sap]],Лист1!A:G,4,0)</f>
        <v>CAN</v>
      </c>
      <c r="E113" s="1" t="str">
        <f>VLOOKUP(Append1[[#This Row],[sku_type_sap]],Лист1!A:G,5,0)</f>
        <v>FRESH BAR 0,45 CAN</v>
      </c>
    </row>
    <row r="114" spans="1:5" x14ac:dyDescent="0.25">
      <c r="A114" s="1" t="s">
        <v>8</v>
      </c>
      <c r="B114" s="1" t="str">
        <f>VLOOKUP(Append1[[#This Row],[sku_type_sap]],Лист1!A:G,2,0)</f>
        <v>FRESH BAR</v>
      </c>
      <c r="C114" s="1">
        <f>VLOOKUP(Append1[[#This Row],[sku_type_sap]],Лист1!A:G,3,0)</f>
        <v>0.48</v>
      </c>
      <c r="D114" s="1" t="str">
        <f>VLOOKUP(Append1[[#This Row],[sku_type_sap]],Лист1!A:G,4,0)</f>
        <v>PET</v>
      </c>
      <c r="E114" s="1" t="str">
        <f>VLOOKUP(Append1[[#This Row],[sku_type_sap]],Лист1!A:G,5,0)</f>
        <v>FRESH BAR 0,48 PET</v>
      </c>
    </row>
    <row r="115" spans="1:5" x14ac:dyDescent="0.25">
      <c r="A115" s="1" t="s">
        <v>117</v>
      </c>
      <c r="B115" s="1" t="str">
        <f>VLOOKUP(Append1[[#This Row],[sku_type_sap]],Лист1!A:G,2,0)</f>
        <v>FRESH BAR</v>
      </c>
      <c r="C115" s="1">
        <f>VLOOKUP(Append1[[#This Row],[sku_type_sap]],Лист1!A:G,3,0)</f>
        <v>1</v>
      </c>
      <c r="D115" s="1" t="str">
        <f>VLOOKUP(Append1[[#This Row],[sku_type_sap]],Лист1!A:G,4,0)</f>
        <v>PET</v>
      </c>
      <c r="E115" s="1" t="str">
        <f>VLOOKUP(Append1[[#This Row],[sku_type_sap]],Лист1!A:G,5,0)</f>
        <v>FRESH BAR 1 PET</v>
      </c>
    </row>
    <row r="116" spans="1:5" x14ac:dyDescent="0.25">
      <c r="A116" s="1" t="s">
        <v>118</v>
      </c>
      <c r="B116" s="1" t="str">
        <f>VLOOKUP(Append1[[#This Row],[sku_type_sap]],Лист1!A:G,2,0)</f>
        <v>FRESH BAR</v>
      </c>
      <c r="C116" s="1">
        <f>VLOOKUP(Append1[[#This Row],[sku_type_sap]],Лист1!A:G,3,0)</f>
        <v>1.5</v>
      </c>
      <c r="D116" s="1" t="str">
        <f>VLOOKUP(Append1[[#This Row],[sku_type_sap]],Лист1!A:G,4,0)</f>
        <v>PET</v>
      </c>
      <c r="E116" s="1" t="str">
        <f>VLOOKUP(Append1[[#This Row],[sku_type_sap]],Лист1!A:G,5,0)</f>
        <v>FRESH BAR 1,5 PET</v>
      </c>
    </row>
    <row r="117" spans="1:5" ht="30" x14ac:dyDescent="0.25">
      <c r="A117" s="5" t="s">
        <v>123</v>
      </c>
      <c r="B117" s="1" t="str">
        <f>VLOOKUP(Append1[[#This Row],[sku_type_sap]],Лист1!A:G,2,0)</f>
        <v>TORNADO MAX</v>
      </c>
      <c r="C117" s="1">
        <f>VLOOKUP(Append1[[#This Row],[sku_type_sap]],Лист1!A:G,3,0)</f>
        <v>0.45</v>
      </c>
      <c r="D117" s="1" t="str">
        <f>VLOOKUP(Append1[[#This Row],[sku_type_sap]],Лист1!A:G,4,0)</f>
        <v>CAN</v>
      </c>
      <c r="E117" s="1" t="str">
        <f>VLOOKUP(Append1[[#This Row],[sku_type_sap]],Лист1!A:G,5,0)</f>
        <v>TORNADO MAX 0,45 CAN</v>
      </c>
    </row>
    <row r="118" spans="1:5" ht="30" x14ac:dyDescent="0.25">
      <c r="A118" s="5" t="s">
        <v>124</v>
      </c>
      <c r="B118" s="1" t="str">
        <f>VLOOKUP(Append1[[#This Row],[sku_type_sap]],Лист1!A:G,2,0)</f>
        <v>TORNADO MAX</v>
      </c>
      <c r="C118" s="1">
        <f>VLOOKUP(Append1[[#This Row],[sku_type_sap]],Лист1!A:G,3,0)</f>
        <v>0.47299999999999998</v>
      </c>
      <c r="D118" s="1" t="str">
        <f>VLOOKUP(Append1[[#This Row],[sku_type_sap]],Лист1!A:G,4,0)</f>
        <v>PET</v>
      </c>
      <c r="E118" s="1" t="str">
        <f>VLOOKUP(Append1[[#This Row],[sku_type_sap]],Лист1!A:G,5,0)</f>
        <v>TORNADO MAX 0,473 PET</v>
      </c>
    </row>
    <row r="119" spans="1:5" x14ac:dyDescent="0.25">
      <c r="A119" s="1" t="s">
        <v>125</v>
      </c>
      <c r="B119" s="1" t="str">
        <f>VLOOKUP(Append1[[#This Row],[sku_type_sap]],Лист1!A:G,2,0)</f>
        <v>TORNADO</v>
      </c>
      <c r="C119" s="1">
        <f>VLOOKUP(Append1[[#This Row],[sku_type_sap]],Лист1!A:G,3,0)</f>
        <v>1</v>
      </c>
      <c r="D119" s="1" t="str">
        <f>VLOOKUP(Append1[[#This Row],[sku_type_sap]],Лист1!A:G,4,0)</f>
        <v>PET</v>
      </c>
      <c r="E119" s="1" t="str">
        <f>VLOOKUP(Append1[[#This Row],[sku_type_sap]],Лист1!A:G,5,0)</f>
        <v>TORNADO 1 PET</v>
      </c>
    </row>
    <row r="120" spans="1:5" x14ac:dyDescent="0.25">
      <c r="A120" s="1" t="s">
        <v>119</v>
      </c>
      <c r="B120" s="1" t="str">
        <f>VLOOKUP(Append1[[#This Row],[sku_type_sap]],Лист1!A:G,2,0)</f>
        <v>TORNADO MAX</v>
      </c>
      <c r="C120" s="1">
        <f>VLOOKUP(Append1[[#This Row],[sku_type_sap]],Лист1!A:G,3,0)</f>
        <v>0.33</v>
      </c>
      <c r="D120" s="1" t="str">
        <f>VLOOKUP(Append1[[#This Row],[sku_type_sap]],Лист1!A:G,4,0)</f>
        <v>CAN</v>
      </c>
      <c r="E120" s="1" t="str">
        <f>VLOOKUP(Append1[[#This Row],[sku_type_sap]],Лист1!A:G,5,0)</f>
        <v>TORNADO MAX 0,33 CAN</v>
      </c>
    </row>
    <row r="121" spans="1:5" x14ac:dyDescent="0.25">
      <c r="A121" s="1" t="s">
        <v>120</v>
      </c>
      <c r="B121" s="1" t="str">
        <f>VLOOKUP(Append1[[#This Row],[sku_type_sap]],Лист1!A:G,2,0)</f>
        <v>COLA BY FRESH BAR</v>
      </c>
      <c r="C121" s="1">
        <f>VLOOKUP(Append1[[#This Row],[sku_type_sap]],Лист1!A:G,3,0)</f>
        <v>0.48</v>
      </c>
      <c r="D121" s="1" t="str">
        <f>VLOOKUP(Append1[[#This Row],[sku_type_sap]],Лист1!A:G,4,0)</f>
        <v>PET</v>
      </c>
      <c r="E121" s="1" t="str">
        <f>VLOOKUP(Append1[[#This Row],[sku_type_sap]],Лист1!A:G,5,0)</f>
        <v>COLA BY FRESH BAR 0,48 PET</v>
      </c>
    </row>
    <row r="122" spans="1:5" x14ac:dyDescent="0.25">
      <c r="A122" s="1" t="s">
        <v>121</v>
      </c>
      <c r="B122" s="1" t="str">
        <f>VLOOKUP(Append1[[#This Row],[sku_type_sap]],Лист1!A:G,2,0)</f>
        <v>COLA BY FRESH BAR</v>
      </c>
      <c r="C122" s="1">
        <f>VLOOKUP(Append1[[#This Row],[sku_type_sap]],Лист1!A:G,3,0)</f>
        <v>0.45</v>
      </c>
      <c r="D122" s="1" t="str">
        <f>VLOOKUP(Append1[[#This Row],[sku_type_sap]],Лист1!A:G,4,0)</f>
        <v>CAN</v>
      </c>
      <c r="E122" s="1" t="str">
        <f>VLOOKUP(Append1[[#This Row],[sku_type_sap]],Лист1!A:G,5,0)</f>
        <v>COLA BY FRESH BAR 0,45 CAN</v>
      </c>
    </row>
    <row r="123" spans="1:5" x14ac:dyDescent="0.25">
      <c r="A123" s="1" t="s">
        <v>122</v>
      </c>
      <c r="B123" s="1" t="str">
        <f>VLOOKUP(Append1[[#This Row],[sku_type_sap]],Лист1!A:G,2,0)</f>
        <v>COLA BY FRESH BAR</v>
      </c>
      <c r="C123" s="1">
        <f>VLOOKUP(Append1[[#This Row],[sku_type_sap]],Лист1!A:G,3,0)</f>
        <v>1.5</v>
      </c>
      <c r="D123" s="1" t="str">
        <f>VLOOKUP(Append1[[#This Row],[sku_type_sap]],Лист1!A:G,4,0)</f>
        <v>PET</v>
      </c>
      <c r="E123" s="1" t="str">
        <f>VLOOKUP(Append1[[#This Row],[sku_type_sap]],Лист1!A:G,5,0)</f>
        <v>COLA BY FRESH BAR 1,5 PET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8"/>
  <sheetViews>
    <sheetView topLeftCell="A94" workbookViewId="0">
      <selection activeCell="D119" sqref="D119"/>
    </sheetView>
  </sheetViews>
  <sheetFormatPr defaultRowHeight="15" x14ac:dyDescent="0.25"/>
  <cols>
    <col min="1" max="1" width="40.140625" customWidth="1"/>
    <col min="2" max="2" width="18.85546875" customWidth="1"/>
  </cols>
  <sheetData>
    <row r="1" spans="1:13" x14ac:dyDescent="0.25">
      <c r="A1" t="s">
        <v>28</v>
      </c>
      <c r="B1" s="3" t="s">
        <v>28</v>
      </c>
      <c r="C1" s="3" t="s">
        <v>46</v>
      </c>
      <c r="D1" s="3" t="s">
        <v>47</v>
      </c>
      <c r="E1" s="2" t="s">
        <v>44</v>
      </c>
    </row>
    <row r="2" spans="1:13" x14ac:dyDescent="0.25">
      <c r="A2" t="s">
        <v>1</v>
      </c>
      <c r="B2" t="s">
        <v>45</v>
      </c>
      <c r="C2">
        <v>0.45</v>
      </c>
      <c r="D2" t="s">
        <v>48</v>
      </c>
      <c r="E2" t="str">
        <f>CONCATENATE(B2," ",C2," ",D2)</f>
        <v>COLA BY FRESH BAR 0,45 CAN</v>
      </c>
    </row>
    <row r="3" spans="1:13" x14ac:dyDescent="0.25">
      <c r="A3" t="s">
        <v>2</v>
      </c>
      <c r="B3" t="s">
        <v>45</v>
      </c>
      <c r="C3">
        <v>0.48</v>
      </c>
      <c r="D3" t="s">
        <v>49</v>
      </c>
      <c r="E3" t="str">
        <f t="shared" ref="E3:E43" si="0">CONCATENATE(B3," ",C3," ",D3)</f>
        <v>COLA BY FRESH BAR 0,48 PET</v>
      </c>
      <c r="M3" t="s">
        <v>42</v>
      </c>
    </row>
    <row r="4" spans="1:13" x14ac:dyDescent="0.25">
      <c r="A4" t="s">
        <v>3</v>
      </c>
      <c r="B4" t="s">
        <v>45</v>
      </c>
      <c r="C4">
        <v>1.5</v>
      </c>
      <c r="D4" t="s">
        <v>49</v>
      </c>
      <c r="E4" t="str">
        <f t="shared" si="0"/>
        <v>COLA BY FRESH BAR 1,5 PET</v>
      </c>
      <c r="M4" t="s">
        <v>7</v>
      </c>
    </row>
    <row r="5" spans="1:13" x14ac:dyDescent="0.25">
      <c r="A5" t="s">
        <v>4</v>
      </c>
      <c r="B5" t="s">
        <v>55</v>
      </c>
      <c r="C5">
        <v>0.25</v>
      </c>
      <c r="D5" t="s">
        <v>48</v>
      </c>
      <c r="E5" t="str">
        <f t="shared" si="0"/>
        <v>E-ON 0,25 CAN</v>
      </c>
      <c r="M5" t="s">
        <v>8</v>
      </c>
    </row>
    <row r="6" spans="1:13" x14ac:dyDescent="0.25">
      <c r="A6" t="s">
        <v>5</v>
      </c>
      <c r="B6" t="s">
        <v>55</v>
      </c>
      <c r="C6">
        <v>0.45</v>
      </c>
      <c r="D6" t="s">
        <v>48</v>
      </c>
      <c r="E6" t="str">
        <f t="shared" si="0"/>
        <v>E-ON 0,45 CAN</v>
      </c>
      <c r="M6" t="s">
        <v>111</v>
      </c>
    </row>
    <row r="7" spans="1:13" x14ac:dyDescent="0.25">
      <c r="A7" t="s">
        <v>6</v>
      </c>
      <c r="B7" t="s">
        <v>55</v>
      </c>
      <c r="C7">
        <v>0.45</v>
      </c>
      <c r="D7" t="s">
        <v>48</v>
      </c>
      <c r="E7" t="str">
        <f t="shared" si="0"/>
        <v>E-ON 0,45 CAN</v>
      </c>
      <c r="M7" t="s">
        <v>12</v>
      </c>
    </row>
    <row r="8" spans="1:13" x14ac:dyDescent="0.25">
      <c r="A8" t="s">
        <v>7</v>
      </c>
      <c r="B8" t="s">
        <v>50</v>
      </c>
      <c r="C8">
        <v>0.45</v>
      </c>
      <c r="D8" t="s">
        <v>48</v>
      </c>
      <c r="E8" t="str">
        <f t="shared" si="0"/>
        <v>FRESH BAR 0,45 CAN</v>
      </c>
      <c r="M8" t="s">
        <v>112</v>
      </c>
    </row>
    <row r="9" spans="1:13" x14ac:dyDescent="0.25">
      <c r="A9" t="s">
        <v>8</v>
      </c>
      <c r="B9" t="s">
        <v>50</v>
      </c>
      <c r="C9">
        <v>0.48</v>
      </c>
      <c r="D9" t="s">
        <v>49</v>
      </c>
      <c r="E9" t="str">
        <f t="shared" si="0"/>
        <v>FRESH BAR 0,48 PET</v>
      </c>
      <c r="M9" t="s">
        <v>5</v>
      </c>
    </row>
    <row r="10" spans="1:13" x14ac:dyDescent="0.25">
      <c r="A10" t="s">
        <v>9</v>
      </c>
      <c r="B10" t="s">
        <v>50</v>
      </c>
      <c r="C10">
        <v>1.5</v>
      </c>
      <c r="D10" t="s">
        <v>49</v>
      </c>
      <c r="E10" t="str">
        <f t="shared" si="0"/>
        <v>FRESH BAR 1,5 PET</v>
      </c>
      <c r="M10" t="s">
        <v>9</v>
      </c>
    </row>
    <row r="11" spans="1:13" x14ac:dyDescent="0.25">
      <c r="A11" t="s">
        <v>10</v>
      </c>
      <c r="B11" t="s">
        <v>51</v>
      </c>
      <c r="C11">
        <v>0.45</v>
      </c>
      <c r="D11" t="s">
        <v>48</v>
      </c>
      <c r="E11" t="str">
        <f t="shared" si="0"/>
        <v>TORNADO 0,45 CAN</v>
      </c>
      <c r="M11" t="s">
        <v>10</v>
      </c>
    </row>
    <row r="12" spans="1:13" x14ac:dyDescent="0.25">
      <c r="A12" t="s">
        <v>11</v>
      </c>
      <c r="B12" t="s">
        <v>51</v>
      </c>
      <c r="C12">
        <v>0.47299999999999998</v>
      </c>
      <c r="D12" t="s">
        <v>49</v>
      </c>
      <c r="E12" t="str">
        <f t="shared" si="0"/>
        <v>TORNADO 0,473 PET</v>
      </c>
      <c r="M12" t="s">
        <v>113</v>
      </c>
    </row>
    <row r="13" spans="1:13" x14ac:dyDescent="0.25">
      <c r="A13" t="s">
        <v>12</v>
      </c>
      <c r="B13" t="s">
        <v>51</v>
      </c>
      <c r="C13">
        <v>1</v>
      </c>
      <c r="D13" t="s">
        <v>49</v>
      </c>
      <c r="E13" t="str">
        <f t="shared" si="0"/>
        <v>TORNADO 1 PET</v>
      </c>
      <c r="M13" t="s">
        <v>114</v>
      </c>
    </row>
    <row r="14" spans="1:13" x14ac:dyDescent="0.25">
      <c r="A14" t="s">
        <v>13</v>
      </c>
      <c r="B14" t="s">
        <v>52</v>
      </c>
      <c r="C14">
        <v>0.45</v>
      </c>
      <c r="D14" t="s">
        <v>48</v>
      </c>
      <c r="E14" t="str">
        <f t="shared" si="0"/>
        <v>ИЛ 0,45 CAN</v>
      </c>
      <c r="M14" t="s">
        <v>115</v>
      </c>
    </row>
    <row r="15" spans="1:13" x14ac:dyDescent="0.25">
      <c r="A15" t="s">
        <v>14</v>
      </c>
      <c r="B15" t="s">
        <v>52</v>
      </c>
      <c r="C15">
        <v>0.48</v>
      </c>
      <c r="D15" t="s">
        <v>49</v>
      </c>
      <c r="E15" t="str">
        <f t="shared" si="0"/>
        <v>ИЛ 0,48 PET</v>
      </c>
      <c r="M15" t="s">
        <v>34</v>
      </c>
    </row>
    <row r="16" spans="1:13" x14ac:dyDescent="0.25">
      <c r="A16" t="s">
        <v>15</v>
      </c>
      <c r="B16" t="s">
        <v>52</v>
      </c>
      <c r="C16">
        <v>1.42</v>
      </c>
      <c r="D16" t="s">
        <v>49</v>
      </c>
      <c r="E16" t="str">
        <f t="shared" si="0"/>
        <v>ИЛ 1,42 PET</v>
      </c>
      <c r="M16" t="s">
        <v>11</v>
      </c>
    </row>
    <row r="17" spans="1:5" x14ac:dyDescent="0.25">
      <c r="A17" t="s">
        <v>16</v>
      </c>
      <c r="B17" t="s">
        <v>53</v>
      </c>
      <c r="C17">
        <v>0.45</v>
      </c>
      <c r="D17" t="s">
        <v>48</v>
      </c>
      <c r="E17" t="str">
        <f t="shared" si="0"/>
        <v>TORNADO MAX 0,45 CAN</v>
      </c>
    </row>
    <row r="18" spans="1:5" x14ac:dyDescent="0.25">
      <c r="A18" t="s">
        <v>17</v>
      </c>
      <c r="B18" t="s">
        <v>53</v>
      </c>
      <c r="C18">
        <v>0.47299999999999998</v>
      </c>
      <c r="D18" t="s">
        <v>49</v>
      </c>
      <c r="E18" t="str">
        <f t="shared" si="0"/>
        <v>TORNADO MAX 0,473 PET</v>
      </c>
    </row>
    <row r="19" spans="1:5" x14ac:dyDescent="0.25">
      <c r="A19" t="s">
        <v>18</v>
      </c>
      <c r="B19" t="s">
        <v>53</v>
      </c>
      <c r="C19">
        <v>0.45</v>
      </c>
      <c r="D19" t="s">
        <v>48</v>
      </c>
      <c r="E19" t="str">
        <f t="shared" si="0"/>
        <v>TORNADO MAX 0,45 CAN</v>
      </c>
    </row>
    <row r="20" spans="1:5" x14ac:dyDescent="0.25">
      <c r="A20" t="s">
        <v>19</v>
      </c>
      <c r="B20" t="s">
        <v>53</v>
      </c>
      <c r="C20">
        <v>0.47299999999999998</v>
      </c>
      <c r="D20" t="s">
        <v>49</v>
      </c>
      <c r="E20" t="str">
        <f t="shared" si="0"/>
        <v>TORNADO MAX 0,473 PET</v>
      </c>
    </row>
    <row r="21" spans="1:5" x14ac:dyDescent="0.25">
      <c r="A21" t="s">
        <v>20</v>
      </c>
      <c r="B21" t="s">
        <v>50</v>
      </c>
      <c r="C21">
        <v>1</v>
      </c>
      <c r="D21" t="s">
        <v>49</v>
      </c>
      <c r="E21" t="str">
        <f t="shared" si="0"/>
        <v>FRESH BAR 1 PET</v>
      </c>
    </row>
    <row r="22" spans="1:5" x14ac:dyDescent="0.25">
      <c r="A22" t="s">
        <v>21</v>
      </c>
      <c r="B22" t="s">
        <v>45</v>
      </c>
      <c r="C22">
        <v>1</v>
      </c>
      <c r="D22" t="s">
        <v>49</v>
      </c>
      <c r="E22" t="str">
        <f t="shared" si="0"/>
        <v>COLA BY FRESH BAR 1 PET</v>
      </c>
    </row>
    <row r="23" spans="1:5" x14ac:dyDescent="0.25">
      <c r="A23" t="s">
        <v>22</v>
      </c>
      <c r="B23" t="s">
        <v>50</v>
      </c>
      <c r="C23">
        <v>1</v>
      </c>
      <c r="D23" t="s">
        <v>49</v>
      </c>
      <c r="E23" t="str">
        <f t="shared" si="0"/>
        <v>FRESH BAR 1 PET</v>
      </c>
    </row>
    <row r="24" spans="1:5" x14ac:dyDescent="0.25">
      <c r="A24" t="s">
        <v>23</v>
      </c>
      <c r="B24" t="s">
        <v>45</v>
      </c>
      <c r="C24">
        <v>0.45</v>
      </c>
      <c r="D24" t="s">
        <v>48</v>
      </c>
      <c r="E24" t="str">
        <f t="shared" si="0"/>
        <v>COLA BY FRESH BAR 0,45 CAN</v>
      </c>
    </row>
    <row r="25" spans="1:5" x14ac:dyDescent="0.25">
      <c r="A25" t="s">
        <v>24</v>
      </c>
      <c r="B25" t="s">
        <v>45</v>
      </c>
      <c r="C25">
        <v>0.48</v>
      </c>
      <c r="D25" t="s">
        <v>49</v>
      </c>
      <c r="E25" t="str">
        <f t="shared" si="0"/>
        <v>COLA BY FRESH BAR 0,48 PET</v>
      </c>
    </row>
    <row r="26" spans="1:5" x14ac:dyDescent="0.25">
      <c r="A26" t="s">
        <v>25</v>
      </c>
      <c r="B26" t="s">
        <v>45</v>
      </c>
      <c r="C26">
        <v>1.5</v>
      </c>
      <c r="D26" t="s">
        <v>49</v>
      </c>
      <c r="E26" t="str">
        <f t="shared" si="0"/>
        <v>COLA BY FRESH BAR 1,5 PET</v>
      </c>
    </row>
    <row r="27" spans="1:5" x14ac:dyDescent="0.25">
      <c r="A27" t="s">
        <v>26</v>
      </c>
      <c r="B27" t="s">
        <v>53</v>
      </c>
      <c r="C27">
        <v>0.45</v>
      </c>
      <c r="D27" t="s">
        <v>48</v>
      </c>
      <c r="E27" t="str">
        <f t="shared" si="0"/>
        <v>TORNADO MAX 0,45 CAN</v>
      </c>
    </row>
    <row r="28" spans="1:5" x14ac:dyDescent="0.25">
      <c r="A28" t="s">
        <v>27</v>
      </c>
      <c r="B28" t="s">
        <v>53</v>
      </c>
      <c r="C28">
        <v>0.47299999999999998</v>
      </c>
      <c r="D28" t="s">
        <v>49</v>
      </c>
      <c r="E28" t="str">
        <f t="shared" si="0"/>
        <v>TORNADO MAX 0,473 PET</v>
      </c>
    </row>
    <row r="29" spans="1:5" x14ac:dyDescent="0.25">
      <c r="A29" t="s">
        <v>29</v>
      </c>
      <c r="B29" t="s">
        <v>51</v>
      </c>
      <c r="C29">
        <v>0.25</v>
      </c>
      <c r="D29" t="s">
        <v>48</v>
      </c>
      <c r="E29" t="str">
        <f t="shared" si="0"/>
        <v>TORNADO 0,25 CAN</v>
      </c>
    </row>
    <row r="30" spans="1:5" x14ac:dyDescent="0.25">
      <c r="A30" t="s">
        <v>30</v>
      </c>
      <c r="B30" t="s">
        <v>45</v>
      </c>
      <c r="C30">
        <v>0.48</v>
      </c>
      <c r="D30" t="s">
        <v>49</v>
      </c>
      <c r="E30" t="str">
        <f t="shared" si="0"/>
        <v>COLA BY FRESH BAR 0,48 PET</v>
      </c>
    </row>
    <row r="31" spans="1:5" x14ac:dyDescent="0.25">
      <c r="A31" t="s">
        <v>31</v>
      </c>
      <c r="B31" t="s">
        <v>45</v>
      </c>
      <c r="C31">
        <v>1.5</v>
      </c>
      <c r="D31" t="s">
        <v>49</v>
      </c>
      <c r="E31" t="str">
        <f t="shared" si="0"/>
        <v>COLA BY FRESH BAR 1,5 PET</v>
      </c>
    </row>
    <row r="32" spans="1:5" x14ac:dyDescent="0.25">
      <c r="A32" t="s">
        <v>32</v>
      </c>
      <c r="B32" t="s">
        <v>52</v>
      </c>
      <c r="C32">
        <v>0.45</v>
      </c>
      <c r="D32" t="s">
        <v>48</v>
      </c>
      <c r="E32" t="str">
        <f t="shared" si="0"/>
        <v>ИЛ 0,45 CAN</v>
      </c>
    </row>
    <row r="33" spans="1:5" x14ac:dyDescent="0.25">
      <c r="A33" t="s">
        <v>33</v>
      </c>
      <c r="B33" t="s">
        <v>45</v>
      </c>
      <c r="C33">
        <v>0.45</v>
      </c>
      <c r="D33" t="s">
        <v>48</v>
      </c>
      <c r="E33" t="str">
        <f t="shared" si="0"/>
        <v>COLA BY FRESH BAR 0,45 CAN</v>
      </c>
    </row>
    <row r="34" spans="1:5" x14ac:dyDescent="0.25">
      <c r="A34" t="s">
        <v>34</v>
      </c>
      <c r="B34" t="s">
        <v>50</v>
      </c>
      <c r="C34">
        <v>1</v>
      </c>
      <c r="D34" t="s">
        <v>49</v>
      </c>
      <c r="E34" t="str">
        <f t="shared" si="0"/>
        <v>FRESH BAR 1 PET</v>
      </c>
    </row>
    <row r="35" spans="1:5" x14ac:dyDescent="0.25">
      <c r="A35" t="s">
        <v>35</v>
      </c>
      <c r="B35" t="s">
        <v>54</v>
      </c>
      <c r="C35">
        <v>0.45</v>
      </c>
      <c r="D35" t="s">
        <v>49</v>
      </c>
      <c r="E35" t="str">
        <f t="shared" si="0"/>
        <v>NPI 0,45 PET</v>
      </c>
    </row>
    <row r="36" spans="1:5" x14ac:dyDescent="0.25">
      <c r="A36" t="s">
        <v>36</v>
      </c>
      <c r="B36" t="s">
        <v>53</v>
      </c>
      <c r="C36">
        <v>0.45</v>
      </c>
      <c r="D36" t="s">
        <v>48</v>
      </c>
      <c r="E36" t="str">
        <f t="shared" si="0"/>
        <v>TORNADO MAX 0,45 CAN</v>
      </c>
    </row>
    <row r="37" spans="1:5" x14ac:dyDescent="0.25">
      <c r="A37" t="s">
        <v>37</v>
      </c>
      <c r="B37" t="s">
        <v>53</v>
      </c>
      <c r="C37">
        <v>0.47299999999999998</v>
      </c>
      <c r="D37" t="s">
        <v>49</v>
      </c>
      <c r="E37" t="str">
        <f t="shared" si="0"/>
        <v>TORNADO MAX 0,473 PET</v>
      </c>
    </row>
    <row r="38" spans="1:5" x14ac:dyDescent="0.25">
      <c r="A38" t="s">
        <v>38</v>
      </c>
      <c r="B38" t="s">
        <v>53</v>
      </c>
      <c r="C38">
        <v>0.33</v>
      </c>
      <c r="D38" t="s">
        <v>48</v>
      </c>
      <c r="E38" t="str">
        <f t="shared" si="0"/>
        <v>TORNADO MAX 0,33 CAN</v>
      </c>
    </row>
    <row r="39" spans="1:5" x14ac:dyDescent="0.25">
      <c r="A39" t="s">
        <v>39</v>
      </c>
      <c r="B39" t="s">
        <v>55</v>
      </c>
      <c r="C39">
        <v>0.45</v>
      </c>
      <c r="D39" t="s">
        <v>48</v>
      </c>
      <c r="E39" t="str">
        <f t="shared" si="0"/>
        <v>E-ON 0,45 CAN</v>
      </c>
    </row>
    <row r="40" spans="1:5" x14ac:dyDescent="0.25">
      <c r="A40" t="s">
        <v>40</v>
      </c>
      <c r="B40" t="s">
        <v>45</v>
      </c>
      <c r="C40">
        <v>1.5</v>
      </c>
      <c r="D40" t="s">
        <v>49</v>
      </c>
      <c r="E40" t="str">
        <f t="shared" si="0"/>
        <v>COLA BY FRESH BAR 1,5 PET</v>
      </c>
    </row>
    <row r="41" spans="1:5" x14ac:dyDescent="0.25">
      <c r="A41" t="s">
        <v>41</v>
      </c>
      <c r="B41" t="s">
        <v>45</v>
      </c>
      <c r="C41">
        <v>0.45</v>
      </c>
      <c r="D41" t="s">
        <v>48</v>
      </c>
      <c r="E41" t="str">
        <f t="shared" si="0"/>
        <v>COLA BY FRESH BAR 0,45 CAN</v>
      </c>
    </row>
    <row r="42" spans="1:5" x14ac:dyDescent="0.25">
      <c r="A42" t="s">
        <v>42</v>
      </c>
      <c r="B42" t="s">
        <v>53</v>
      </c>
      <c r="C42">
        <v>0.45</v>
      </c>
      <c r="D42" t="s">
        <v>48</v>
      </c>
      <c r="E42" t="str">
        <f t="shared" si="0"/>
        <v>TORNADO MAX 0,45 CAN</v>
      </c>
    </row>
    <row r="43" spans="1:5" x14ac:dyDescent="0.25">
      <c r="A43" t="s">
        <v>43</v>
      </c>
      <c r="B43" t="s">
        <v>53</v>
      </c>
      <c r="C43">
        <v>0.47299999999999998</v>
      </c>
      <c r="D43" t="s">
        <v>49</v>
      </c>
      <c r="E43" t="str">
        <f t="shared" si="0"/>
        <v>TORNADO MAX 0,473 PET</v>
      </c>
    </row>
    <row r="44" spans="1:5" x14ac:dyDescent="0.25">
      <c r="A44" t="s">
        <v>5</v>
      </c>
      <c r="B44" t="s">
        <v>55</v>
      </c>
      <c r="C44">
        <v>0.45</v>
      </c>
      <c r="D44" t="s">
        <v>48</v>
      </c>
      <c r="E44" t="str">
        <f>VLOOKUP(A44,Append1[sku_type_sap],1,0)</f>
        <v>E-ON 0,45 CAN</v>
      </c>
    </row>
    <row r="45" spans="1:5" x14ac:dyDescent="0.25">
      <c r="A45" t="s">
        <v>97</v>
      </c>
      <c r="B45" t="s">
        <v>55</v>
      </c>
      <c r="C45">
        <v>0.5</v>
      </c>
      <c r="D45" t="s">
        <v>49</v>
      </c>
      <c r="E45" t="str">
        <f>VLOOKUP(A45,Append1[sku_type_sap],1,0)</f>
        <v>E-ON 0,5 PET</v>
      </c>
    </row>
    <row r="46" spans="1:5" x14ac:dyDescent="0.25">
      <c r="A46" t="s">
        <v>98</v>
      </c>
      <c r="B46" t="s">
        <v>45</v>
      </c>
      <c r="C46">
        <v>0.48</v>
      </c>
      <c r="D46" t="s">
        <v>49</v>
      </c>
      <c r="E46" t="str">
        <f>VLOOKUP(A46,Append1[sku_type_sap],1,0)</f>
        <v>COLA BY FRESH BAR 0,48 PET</v>
      </c>
    </row>
    <row r="47" spans="1:5" x14ac:dyDescent="0.25">
      <c r="A47" t="s">
        <v>99</v>
      </c>
      <c r="B47" t="s">
        <v>45</v>
      </c>
      <c r="C47">
        <v>1.5</v>
      </c>
      <c r="D47" t="s">
        <v>49</v>
      </c>
      <c r="E47" t="str">
        <f>VLOOKUP(A47,Append1[sku_type_sap],1,0)</f>
        <v>COLA BY FRESH BAR 1,5 PET</v>
      </c>
    </row>
    <row r="48" spans="1:5" x14ac:dyDescent="0.25">
      <c r="A48" t="s">
        <v>100</v>
      </c>
      <c r="B48" t="s">
        <v>45</v>
      </c>
      <c r="C48">
        <v>0.45</v>
      </c>
      <c r="D48" t="s">
        <v>48</v>
      </c>
      <c r="E48" t="str">
        <f>VLOOKUP(A48,Append1[sku_type_sap],1,0)</f>
        <v>COLA BY FRESH BAR 0,45 CAN</v>
      </c>
    </row>
    <row r="49" spans="1:5" x14ac:dyDescent="0.25">
      <c r="A49" t="s">
        <v>101</v>
      </c>
      <c r="B49" t="s">
        <v>50</v>
      </c>
      <c r="C49">
        <v>0.45</v>
      </c>
      <c r="D49" t="s">
        <v>48</v>
      </c>
      <c r="E49" t="str">
        <f>VLOOKUP(A49,Append1[sku_type_sap],1,0)</f>
        <v>Fresh Bar 0,45 CAN</v>
      </c>
    </row>
    <row r="50" spans="1:5" x14ac:dyDescent="0.25">
      <c r="A50" t="s">
        <v>101</v>
      </c>
      <c r="B50" t="s">
        <v>50</v>
      </c>
      <c r="C50">
        <v>0.45</v>
      </c>
      <c r="D50" t="s">
        <v>48</v>
      </c>
      <c r="E50" t="str">
        <f>VLOOKUP(A50,Append1[sku_type_sap],1,0)</f>
        <v>Fresh Bar 0,45 CAN</v>
      </c>
    </row>
    <row r="51" spans="1:5" x14ac:dyDescent="0.25">
      <c r="A51" t="s">
        <v>100</v>
      </c>
      <c r="B51" t="s">
        <v>45</v>
      </c>
      <c r="C51">
        <v>0.45</v>
      </c>
      <c r="D51" t="s">
        <v>48</v>
      </c>
      <c r="E51" t="str">
        <f>VLOOKUP(A51,Append1[sku_type_sap],1,0)</f>
        <v>COLA BY FRESH BAR 0,45 CAN</v>
      </c>
    </row>
    <row r="52" spans="1:5" x14ac:dyDescent="0.25">
      <c r="A52" t="s">
        <v>102</v>
      </c>
      <c r="B52" t="s">
        <v>50</v>
      </c>
      <c r="C52">
        <v>0.48</v>
      </c>
      <c r="D52" t="s">
        <v>49</v>
      </c>
      <c r="E52" t="str">
        <f>VLOOKUP(A52,Append1[sku_type_sap],1,0)</f>
        <v>Fresh Bar 0,48 PET</v>
      </c>
    </row>
    <row r="53" spans="1:5" x14ac:dyDescent="0.25">
      <c r="A53" t="s">
        <v>102</v>
      </c>
      <c r="B53" t="s">
        <v>50</v>
      </c>
      <c r="C53">
        <v>0.48</v>
      </c>
      <c r="D53" t="s">
        <v>49</v>
      </c>
      <c r="E53" t="str">
        <f>VLOOKUP(A53,Append1[sku_type_sap],1,0)</f>
        <v>Fresh Bar 0,48 PET</v>
      </c>
    </row>
    <row r="54" spans="1:5" x14ac:dyDescent="0.25">
      <c r="A54" t="s">
        <v>98</v>
      </c>
      <c r="B54" t="s">
        <v>45</v>
      </c>
      <c r="C54">
        <v>0.48</v>
      </c>
      <c r="D54" t="s">
        <v>49</v>
      </c>
      <c r="E54" t="str">
        <f>VLOOKUP(A54,Append1[sku_type_sap],1,0)</f>
        <v>COLA BY FRESH BAR 0,48 PET</v>
      </c>
    </row>
    <row r="55" spans="1:5" x14ac:dyDescent="0.25">
      <c r="A55" t="s">
        <v>102</v>
      </c>
      <c r="B55" t="s">
        <v>50</v>
      </c>
      <c r="C55">
        <v>0.48</v>
      </c>
      <c r="D55" t="s">
        <v>49</v>
      </c>
      <c r="E55" t="str">
        <f>VLOOKUP(A55,Append1[sku_type_sap],1,0)</f>
        <v>Fresh Bar 0,48 PET</v>
      </c>
    </row>
    <row r="56" spans="1:5" x14ac:dyDescent="0.25">
      <c r="A56" t="s">
        <v>98</v>
      </c>
      <c r="B56" t="s">
        <v>45</v>
      </c>
      <c r="C56">
        <v>0.48</v>
      </c>
      <c r="D56" t="s">
        <v>49</v>
      </c>
      <c r="E56" t="str">
        <f>VLOOKUP(A56,Append1[sku_type_sap],1,0)</f>
        <v>COLA BY FRESH BAR 0,48 PET</v>
      </c>
    </row>
    <row r="57" spans="1:5" x14ac:dyDescent="0.25">
      <c r="A57" t="s">
        <v>103</v>
      </c>
      <c r="B57" t="s">
        <v>50</v>
      </c>
      <c r="C57">
        <v>1.5</v>
      </c>
      <c r="D57" t="s">
        <v>49</v>
      </c>
      <c r="E57" t="str">
        <f t="shared" ref="E57:E59" si="1">CONCATENATE(B57," ",C57," ",D57)</f>
        <v>FRESH BAR 1,5 PET</v>
      </c>
    </row>
    <row r="58" spans="1:5" x14ac:dyDescent="0.25">
      <c r="A58" t="s">
        <v>103</v>
      </c>
      <c r="B58" t="s">
        <v>50</v>
      </c>
      <c r="C58">
        <v>1.5</v>
      </c>
      <c r="D58" t="s">
        <v>49</v>
      </c>
      <c r="E58" t="str">
        <f t="shared" si="1"/>
        <v>FRESH BAR 1,5 PET</v>
      </c>
    </row>
    <row r="59" spans="1:5" x14ac:dyDescent="0.25">
      <c r="A59" t="s">
        <v>103</v>
      </c>
      <c r="B59" t="s">
        <v>50</v>
      </c>
      <c r="C59">
        <v>1.5</v>
      </c>
      <c r="D59" t="s">
        <v>49</v>
      </c>
      <c r="E59" t="str">
        <f t="shared" si="1"/>
        <v>FRESH BAR 1,5 PET</v>
      </c>
    </row>
    <row r="60" spans="1:5" x14ac:dyDescent="0.25">
      <c r="A60" t="s">
        <v>99</v>
      </c>
      <c r="B60" t="s">
        <v>45</v>
      </c>
      <c r="C60">
        <v>1.5</v>
      </c>
      <c r="D60" t="s">
        <v>49</v>
      </c>
      <c r="E60" t="str">
        <f>VLOOKUP(A60,Append1[sku_type_sap],1,0)</f>
        <v>COLA BY FRESH BAR 1,5 PET</v>
      </c>
    </row>
    <row r="61" spans="1:5" x14ac:dyDescent="0.25">
      <c r="A61" t="s">
        <v>100</v>
      </c>
      <c r="B61" t="s">
        <v>45</v>
      </c>
      <c r="C61">
        <v>0.45</v>
      </c>
      <c r="D61" t="s">
        <v>48</v>
      </c>
      <c r="E61" t="str">
        <f>VLOOKUP(A61,Append1[sku_type_sap],1,0)</f>
        <v>COLA BY FRESH BAR 0,45 CAN</v>
      </c>
    </row>
    <row r="62" spans="1:5" x14ac:dyDescent="0.25">
      <c r="A62" t="s">
        <v>100</v>
      </c>
      <c r="B62" t="s">
        <v>45</v>
      </c>
      <c r="C62">
        <v>0.45</v>
      </c>
      <c r="D62" t="s">
        <v>48</v>
      </c>
      <c r="E62" t="str">
        <f>VLOOKUP(A62,Append1[sku_type_sap],1,0)</f>
        <v>COLA BY FRESH BAR 0,45 CAN</v>
      </c>
    </row>
    <row r="63" spans="1:5" x14ac:dyDescent="0.25">
      <c r="A63" t="s">
        <v>98</v>
      </c>
      <c r="B63" t="s">
        <v>45</v>
      </c>
      <c r="C63">
        <v>0.48</v>
      </c>
      <c r="D63" t="s">
        <v>49</v>
      </c>
      <c r="E63" t="str">
        <f>VLOOKUP(A63,Append1[sku_type_sap],1,0)</f>
        <v>COLA BY FRESH BAR 0,48 PET</v>
      </c>
    </row>
    <row r="64" spans="1:5" x14ac:dyDescent="0.25">
      <c r="A64" t="s">
        <v>98</v>
      </c>
      <c r="B64" t="s">
        <v>45</v>
      </c>
      <c r="C64">
        <v>0.48</v>
      </c>
      <c r="D64" t="s">
        <v>49</v>
      </c>
      <c r="E64" t="str">
        <f>VLOOKUP(A64,Append1[sku_type_sap],1,0)</f>
        <v>COLA BY FRESH BAR 0,48 PET</v>
      </c>
    </row>
    <row r="65" spans="1:5" x14ac:dyDescent="0.25">
      <c r="A65" t="s">
        <v>99</v>
      </c>
      <c r="B65" t="s">
        <v>45</v>
      </c>
      <c r="C65">
        <v>1.5</v>
      </c>
      <c r="D65" t="s">
        <v>49</v>
      </c>
      <c r="E65" t="str">
        <f>VLOOKUP(A65,Append1[sku_type_sap],1,0)</f>
        <v>COLA BY FRESH BAR 1,5 PET</v>
      </c>
    </row>
    <row r="66" spans="1:5" x14ac:dyDescent="0.25">
      <c r="A66" t="s">
        <v>100</v>
      </c>
      <c r="B66" t="s">
        <v>45</v>
      </c>
      <c r="C66">
        <v>0.45</v>
      </c>
      <c r="D66" t="s">
        <v>48</v>
      </c>
      <c r="E66" t="str">
        <f>VLOOKUP(A66,Append1[sku_type_sap],1,0)</f>
        <v>COLA BY FRESH BAR 0,45 CAN</v>
      </c>
    </row>
    <row r="67" spans="1:5" x14ac:dyDescent="0.25">
      <c r="A67" t="s">
        <v>98</v>
      </c>
      <c r="B67" t="s">
        <v>45</v>
      </c>
      <c r="C67">
        <v>0.48</v>
      </c>
      <c r="D67" t="s">
        <v>49</v>
      </c>
      <c r="E67" t="str">
        <f>VLOOKUP(A67,Append1[sku_type_sap],1,0)</f>
        <v>COLA BY FRESH BAR 0,48 PET</v>
      </c>
    </row>
    <row r="68" spans="1:5" x14ac:dyDescent="0.25">
      <c r="A68" t="s">
        <v>104</v>
      </c>
      <c r="B68" t="s">
        <v>51</v>
      </c>
      <c r="C68">
        <v>0.45</v>
      </c>
      <c r="D68" t="s">
        <v>48</v>
      </c>
      <c r="E68" t="str">
        <f>VLOOKUP(A68,Append1[sku_type_sap],1,0)</f>
        <v>Tornado 0,45 CAN</v>
      </c>
    </row>
    <row r="69" spans="1:5" x14ac:dyDescent="0.25">
      <c r="A69" t="s">
        <v>104</v>
      </c>
      <c r="B69" t="s">
        <v>51</v>
      </c>
      <c r="C69">
        <v>0.45</v>
      </c>
      <c r="D69" t="s">
        <v>48</v>
      </c>
      <c r="E69" t="str">
        <f>VLOOKUP(A69,Append1[sku_type_sap],1,0)</f>
        <v>Tornado 0,45 CAN</v>
      </c>
    </row>
    <row r="70" spans="1:5" x14ac:dyDescent="0.25">
      <c r="A70" t="s">
        <v>105</v>
      </c>
      <c r="B70" t="s">
        <v>51</v>
      </c>
      <c r="C70">
        <v>1</v>
      </c>
      <c r="D70" t="s">
        <v>49</v>
      </c>
      <c r="E70" t="str">
        <f>VLOOKUP(A70,Append1[sku_type_sap],1,0)</f>
        <v>TORNADO 1 PET</v>
      </c>
    </row>
    <row r="71" spans="1:5" x14ac:dyDescent="0.25">
      <c r="A71" t="s">
        <v>14</v>
      </c>
      <c r="B71" t="s">
        <v>52</v>
      </c>
      <c r="C71">
        <v>0.48</v>
      </c>
      <c r="D71" t="s">
        <v>49</v>
      </c>
      <c r="E71" t="str">
        <f>VLOOKUP(A71,Append1[sku_type_sap],1,0)</f>
        <v>ИЛ 0,48 PET</v>
      </c>
    </row>
    <row r="72" spans="1:5" x14ac:dyDescent="0.25">
      <c r="A72" t="s">
        <v>14</v>
      </c>
      <c r="B72" t="s">
        <v>52</v>
      </c>
      <c r="C72">
        <v>0.48</v>
      </c>
      <c r="D72" t="s">
        <v>49</v>
      </c>
      <c r="E72" t="str">
        <f>VLOOKUP(A72,Append1[sku_type_sap],1,0)</f>
        <v>ИЛ 0,48 PET</v>
      </c>
    </row>
    <row r="73" spans="1:5" x14ac:dyDescent="0.25">
      <c r="A73" t="s">
        <v>15</v>
      </c>
      <c r="B73" t="s">
        <v>52</v>
      </c>
      <c r="C73">
        <v>1.42</v>
      </c>
      <c r="D73" t="s">
        <v>49</v>
      </c>
      <c r="E73" t="str">
        <f>VLOOKUP(A73,Append1[sku_type_sap],1,0)</f>
        <v>ИЛ 1,42 PET</v>
      </c>
    </row>
    <row r="74" spans="1:5" x14ac:dyDescent="0.25">
      <c r="A74" t="s">
        <v>15</v>
      </c>
      <c r="B74" t="s">
        <v>52</v>
      </c>
      <c r="C74">
        <v>1.42</v>
      </c>
      <c r="D74" t="s">
        <v>49</v>
      </c>
      <c r="E74" t="str">
        <f>VLOOKUP(A74,Append1[sku_type_sap],1,0)</f>
        <v>ИЛ 1,42 PET</v>
      </c>
    </row>
    <row r="75" spans="1:5" x14ac:dyDescent="0.25">
      <c r="A75" t="s">
        <v>104</v>
      </c>
      <c r="B75" t="s">
        <v>51</v>
      </c>
      <c r="C75">
        <v>0.45</v>
      </c>
      <c r="D75" t="s">
        <v>48</v>
      </c>
      <c r="E75" t="str">
        <f>VLOOKUP(A75,Append1[sku_type_sap],1,0)</f>
        <v>Tornado 0,45 CAN</v>
      </c>
    </row>
    <row r="76" spans="1:5" x14ac:dyDescent="0.25">
      <c r="A76" t="s">
        <v>104</v>
      </c>
      <c r="B76" t="s">
        <v>51</v>
      </c>
      <c r="C76">
        <v>0.45</v>
      </c>
      <c r="D76" t="s">
        <v>48</v>
      </c>
      <c r="E76" t="str">
        <f>VLOOKUP(A76,Append1[sku_type_sap],1,0)</f>
        <v>Tornado 0,45 CAN</v>
      </c>
    </row>
    <row r="77" spans="1:5" x14ac:dyDescent="0.25">
      <c r="A77" t="s">
        <v>106</v>
      </c>
      <c r="B77" t="s">
        <v>53</v>
      </c>
      <c r="C77">
        <v>0.47299999999999998</v>
      </c>
      <c r="D77" t="s">
        <v>49</v>
      </c>
      <c r="E77" t="str">
        <f>VLOOKUP(A77,Append1[sku_type_sap],1,0)</f>
        <v>Tornado MAX 0,473 PET</v>
      </c>
    </row>
    <row r="78" spans="1:5" x14ac:dyDescent="0.25">
      <c r="A78" t="s">
        <v>106</v>
      </c>
      <c r="B78" t="s">
        <v>53</v>
      </c>
      <c r="C78">
        <v>0.47299999999999998</v>
      </c>
      <c r="D78" t="s">
        <v>49</v>
      </c>
      <c r="E78" t="str">
        <f>VLOOKUP(A78,Append1[sku_type_sap],1,0)</f>
        <v>Tornado MAX 0,473 PET</v>
      </c>
    </row>
    <row r="79" spans="1:5" x14ac:dyDescent="0.25">
      <c r="A79" t="s">
        <v>105</v>
      </c>
      <c r="B79" t="s">
        <v>51</v>
      </c>
      <c r="C79">
        <v>1</v>
      </c>
      <c r="D79" t="s">
        <v>49</v>
      </c>
      <c r="E79" t="str">
        <f>VLOOKUP(A79,Append1[sku_type_sap],1,0)</f>
        <v>TORNADO 1 PET</v>
      </c>
    </row>
    <row r="80" spans="1:5" x14ac:dyDescent="0.25">
      <c r="A80" t="s">
        <v>107</v>
      </c>
      <c r="B80" t="s">
        <v>53</v>
      </c>
      <c r="C80">
        <v>0.45</v>
      </c>
      <c r="D80" t="s">
        <v>48</v>
      </c>
      <c r="E80" t="str">
        <f>VLOOKUP(A80,Append1[sku_type_sap],1,0)</f>
        <v>Tornado MAX 0,45 CAN</v>
      </c>
    </row>
    <row r="81" spans="1:5" x14ac:dyDescent="0.25">
      <c r="A81" t="s">
        <v>104</v>
      </c>
      <c r="B81" t="s">
        <v>51</v>
      </c>
      <c r="C81">
        <v>0.45</v>
      </c>
      <c r="D81" t="s">
        <v>48</v>
      </c>
      <c r="E81" t="str">
        <f>VLOOKUP(A81,Append1[sku_type_sap],1,0)</f>
        <v>Tornado 0,45 CAN</v>
      </c>
    </row>
    <row r="82" spans="1:5" x14ac:dyDescent="0.25">
      <c r="A82" t="s">
        <v>104</v>
      </c>
      <c r="B82" t="s">
        <v>51</v>
      </c>
      <c r="C82">
        <v>0.45</v>
      </c>
      <c r="D82" t="s">
        <v>48</v>
      </c>
      <c r="E82" t="str">
        <f>VLOOKUP(A82,Append1[sku_type_sap],1,0)</f>
        <v>Tornado 0,45 CAN</v>
      </c>
    </row>
    <row r="83" spans="1:5" x14ac:dyDescent="0.25">
      <c r="A83" t="s">
        <v>105</v>
      </c>
      <c r="B83" t="s">
        <v>51</v>
      </c>
      <c r="C83">
        <v>1</v>
      </c>
      <c r="D83" t="s">
        <v>49</v>
      </c>
      <c r="E83" t="str">
        <f>VLOOKUP(A83,Append1[sku_type_sap],1,0)</f>
        <v>TORNADO 1 PET</v>
      </c>
    </row>
    <row r="84" spans="1:5" x14ac:dyDescent="0.25">
      <c r="A84" t="s">
        <v>106</v>
      </c>
      <c r="B84" t="s">
        <v>53</v>
      </c>
      <c r="C84">
        <v>0.47299999999999998</v>
      </c>
      <c r="D84" t="s">
        <v>49</v>
      </c>
      <c r="E84" t="str">
        <f>VLOOKUP(A84,Append1[sku_type_sap],1,0)</f>
        <v>Tornado MAX 0,473 PET</v>
      </c>
    </row>
    <row r="85" spans="1:5" x14ac:dyDescent="0.25">
      <c r="A85" t="s">
        <v>102</v>
      </c>
      <c r="B85" t="s">
        <v>50</v>
      </c>
      <c r="C85">
        <v>0.48</v>
      </c>
      <c r="D85" t="s">
        <v>49</v>
      </c>
      <c r="E85" t="str">
        <f>VLOOKUP(A85,Append1[sku_type_sap],1,0)</f>
        <v>Fresh Bar 0,48 PET</v>
      </c>
    </row>
    <row r="86" spans="1:5" x14ac:dyDescent="0.25">
      <c r="A86" t="s">
        <v>15</v>
      </c>
      <c r="B86" t="s">
        <v>52</v>
      </c>
      <c r="C86">
        <v>1.42</v>
      </c>
      <c r="D86" t="s">
        <v>49</v>
      </c>
      <c r="E86" t="str">
        <f>VLOOKUP(A86,Append1[sku_type_sap],1,0)</f>
        <v>ИЛ 1,42 PET</v>
      </c>
    </row>
    <row r="87" spans="1:5" x14ac:dyDescent="0.25">
      <c r="A87" t="s">
        <v>14</v>
      </c>
      <c r="B87" t="s">
        <v>52</v>
      </c>
      <c r="C87">
        <v>0.48</v>
      </c>
      <c r="D87" t="s">
        <v>49</v>
      </c>
      <c r="E87" t="str">
        <f>VLOOKUP(A87,Append1[sku_type_sap],1,0)</f>
        <v>ИЛ 0,48 PET</v>
      </c>
    </row>
    <row r="88" spans="1:5" x14ac:dyDescent="0.25">
      <c r="A88" t="s">
        <v>98</v>
      </c>
      <c r="B88" t="s">
        <v>45</v>
      </c>
      <c r="C88">
        <v>0.48</v>
      </c>
      <c r="D88" t="s">
        <v>49</v>
      </c>
      <c r="E88" t="str">
        <f>VLOOKUP(A88,Append1[sku_type_sap],1,0)</f>
        <v>COLA BY FRESH BAR 0,48 PET</v>
      </c>
    </row>
    <row r="89" spans="1:5" x14ac:dyDescent="0.25">
      <c r="A89" t="s">
        <v>101</v>
      </c>
      <c r="B89" t="s">
        <v>50</v>
      </c>
      <c r="C89">
        <v>0.45</v>
      </c>
      <c r="D89" t="s">
        <v>48</v>
      </c>
      <c r="E89" t="str">
        <f>VLOOKUP(A89,Append1[sku_type_sap],1,0)</f>
        <v>Fresh Bar 0,45 CAN</v>
      </c>
    </row>
    <row r="90" spans="1:5" x14ac:dyDescent="0.25">
      <c r="A90" t="s">
        <v>103</v>
      </c>
      <c r="B90" t="s">
        <v>50</v>
      </c>
      <c r="C90">
        <v>1.5</v>
      </c>
      <c r="D90" t="s">
        <v>49</v>
      </c>
      <c r="E90" t="str">
        <f t="shared" ref="E90" si="2">CONCATENATE(B90," ",C90," ",D90)</f>
        <v>FRESH BAR 1,5 PET</v>
      </c>
    </row>
    <row r="91" spans="1:5" x14ac:dyDescent="0.25">
      <c r="A91" t="s">
        <v>99</v>
      </c>
      <c r="B91" t="s">
        <v>45</v>
      </c>
      <c r="C91">
        <v>1.5</v>
      </c>
      <c r="D91" t="s">
        <v>49</v>
      </c>
      <c r="E91" t="str">
        <f>VLOOKUP(A91,Append1[sku_type_sap],1,0)</f>
        <v>COLA BY FRESH BAR 1,5 PET</v>
      </c>
    </row>
    <row r="92" spans="1:5" x14ac:dyDescent="0.25">
      <c r="A92" t="s">
        <v>100</v>
      </c>
      <c r="B92" t="s">
        <v>45</v>
      </c>
      <c r="C92">
        <v>0.45</v>
      </c>
      <c r="D92" t="s">
        <v>48</v>
      </c>
      <c r="E92" t="str">
        <f>VLOOKUP(A92,Append1[sku_type_sap],1,0)</f>
        <v>COLA BY FRESH BAR 0,45 CAN</v>
      </c>
    </row>
    <row r="93" spans="1:5" x14ac:dyDescent="0.25">
      <c r="A93" t="s">
        <v>107</v>
      </c>
      <c r="B93" t="s">
        <v>53</v>
      </c>
      <c r="C93">
        <v>0.45</v>
      </c>
      <c r="D93" t="s">
        <v>48</v>
      </c>
      <c r="E93" t="str">
        <f>VLOOKUP(A93,Append1[sku_type_sap],1,0)</f>
        <v>Tornado MAX 0,45 CAN</v>
      </c>
    </row>
    <row r="94" spans="1:5" x14ac:dyDescent="0.25">
      <c r="A94" t="s">
        <v>108</v>
      </c>
      <c r="B94" t="s">
        <v>50</v>
      </c>
      <c r="C94">
        <v>1</v>
      </c>
      <c r="D94" t="s">
        <v>49</v>
      </c>
      <c r="E94" t="str">
        <f>VLOOKUP(A94,Append1[sku_type_sap],1,0)</f>
        <v>FRESH BAR 1 PET</v>
      </c>
    </row>
    <row r="95" spans="1:5" x14ac:dyDescent="0.25">
      <c r="A95" t="s">
        <v>106</v>
      </c>
      <c r="B95" t="s">
        <v>53</v>
      </c>
      <c r="C95">
        <v>0.47299999999999998</v>
      </c>
      <c r="D95" t="s">
        <v>49</v>
      </c>
      <c r="E95" t="str">
        <f>VLOOKUP(A95,Append1[sku_type_sap],1,0)</f>
        <v>Tornado MAX 0,473 PET</v>
      </c>
    </row>
    <row r="96" spans="1:5" x14ac:dyDescent="0.25">
      <c r="A96" t="s">
        <v>42</v>
      </c>
      <c r="B96" t="s">
        <v>53</v>
      </c>
      <c r="C96">
        <v>0.45</v>
      </c>
      <c r="D96" t="s">
        <v>48</v>
      </c>
      <c r="E96" t="str">
        <f t="shared" ref="E96" si="3">CONCATENATE(B96," ",C96," ",D96)</f>
        <v>TORNADO MAX 0,45 CAN</v>
      </c>
    </row>
    <row r="97" spans="1:5" x14ac:dyDescent="0.25">
      <c r="A97" t="s">
        <v>7</v>
      </c>
      <c r="B97" t="s">
        <v>50</v>
      </c>
      <c r="C97">
        <v>0.45</v>
      </c>
      <c r="D97" t="s">
        <v>48</v>
      </c>
      <c r="E97" t="str">
        <f>VLOOKUP(A97,Append1[sku_type_sap],1,0)</f>
        <v>Fresh Bar 0,45 CAN</v>
      </c>
    </row>
    <row r="98" spans="1:5" x14ac:dyDescent="0.25">
      <c r="A98" t="s">
        <v>8</v>
      </c>
      <c r="B98" t="s">
        <v>50</v>
      </c>
      <c r="C98">
        <v>0.48</v>
      </c>
      <c r="D98" t="s">
        <v>49</v>
      </c>
      <c r="E98" t="str">
        <f>VLOOKUP(A98,Append1[sku_type_sap],1,0)</f>
        <v>Fresh Bar 0,48 PET</v>
      </c>
    </row>
    <row r="99" spans="1:5" x14ac:dyDescent="0.25">
      <c r="A99" t="s">
        <v>111</v>
      </c>
      <c r="B99" t="s">
        <v>50</v>
      </c>
      <c r="C99">
        <v>1.5</v>
      </c>
      <c r="D99" t="s">
        <v>49</v>
      </c>
      <c r="E99" t="str">
        <f t="shared" ref="E99:E100" si="4">CONCATENATE(B99," ",C99," ",D99)</f>
        <v>FRESH BAR 1,5 PET</v>
      </c>
    </row>
    <row r="100" spans="1:5" x14ac:dyDescent="0.25">
      <c r="A100" t="s">
        <v>12</v>
      </c>
      <c r="B100" t="s">
        <v>51</v>
      </c>
      <c r="C100">
        <v>1</v>
      </c>
      <c r="D100" t="s">
        <v>49</v>
      </c>
      <c r="E100" t="str">
        <f t="shared" si="4"/>
        <v>TORNADO 1 PET</v>
      </c>
    </row>
    <row r="101" spans="1:5" x14ac:dyDescent="0.25">
      <c r="A101" t="s">
        <v>112</v>
      </c>
      <c r="B101" t="s">
        <v>45</v>
      </c>
      <c r="C101">
        <v>0.48</v>
      </c>
      <c r="D101" t="s">
        <v>49</v>
      </c>
      <c r="E101" t="str">
        <f t="shared" ref="E101" si="5">CONCATENATE(B101," ",C101," ",D101)</f>
        <v>COLA BY FRESH BAR 0,48 PET</v>
      </c>
    </row>
    <row r="102" spans="1:5" x14ac:dyDescent="0.25">
      <c r="A102" t="s">
        <v>9</v>
      </c>
      <c r="B102" t="s">
        <v>50</v>
      </c>
      <c r="C102">
        <v>1.5</v>
      </c>
      <c r="D102" t="s">
        <v>49</v>
      </c>
      <c r="E102" t="str">
        <f t="shared" ref="E102:E103" si="6">CONCATENATE(B102," ",C102," ",D102)</f>
        <v>FRESH BAR 1,5 PET</v>
      </c>
    </row>
    <row r="103" spans="1:5" x14ac:dyDescent="0.25">
      <c r="A103" t="s">
        <v>10</v>
      </c>
      <c r="B103" t="s">
        <v>51</v>
      </c>
      <c r="C103">
        <v>0.45</v>
      </c>
      <c r="D103" t="s">
        <v>48</v>
      </c>
      <c r="E103" t="str">
        <f t="shared" si="6"/>
        <v>TORNADO 0,45 CAN</v>
      </c>
    </row>
    <row r="104" spans="1:5" x14ac:dyDescent="0.25">
      <c r="A104" t="s">
        <v>113</v>
      </c>
      <c r="B104" t="s">
        <v>45</v>
      </c>
      <c r="C104">
        <v>1.5</v>
      </c>
      <c r="D104" t="s">
        <v>49</v>
      </c>
      <c r="E104" t="str">
        <f t="shared" ref="E104" si="7">CONCATENATE(B104," ",C104," ",D104)</f>
        <v>COLA BY FRESH BAR 1,5 PET</v>
      </c>
    </row>
    <row r="105" spans="1:5" x14ac:dyDescent="0.25">
      <c r="A105" t="s">
        <v>114</v>
      </c>
      <c r="B105" t="s">
        <v>45</v>
      </c>
      <c r="C105">
        <v>0.45</v>
      </c>
      <c r="D105" t="s">
        <v>48</v>
      </c>
      <c r="E105" t="str">
        <f t="shared" ref="E105:E106" si="8">CONCATENATE(B105," ",C105," ",D105)</f>
        <v>COLA BY FRESH BAR 0,45 CAN</v>
      </c>
    </row>
    <row r="106" spans="1:5" x14ac:dyDescent="0.25">
      <c r="A106" t="s">
        <v>115</v>
      </c>
      <c r="B106" t="s">
        <v>45</v>
      </c>
      <c r="C106">
        <v>1.5</v>
      </c>
      <c r="D106" t="s">
        <v>49</v>
      </c>
      <c r="E106" t="str">
        <f t="shared" si="8"/>
        <v>COLA BY FRESH BAR 1,5 PET</v>
      </c>
    </row>
    <row r="107" spans="1:5" x14ac:dyDescent="0.25">
      <c r="A107" t="s">
        <v>34</v>
      </c>
      <c r="B107" t="s">
        <v>50</v>
      </c>
      <c r="C107">
        <v>1</v>
      </c>
      <c r="D107" t="s">
        <v>49</v>
      </c>
      <c r="E107" t="s">
        <v>108</v>
      </c>
    </row>
    <row r="108" spans="1:5" x14ac:dyDescent="0.25">
      <c r="A108" t="s">
        <v>11</v>
      </c>
      <c r="B108" t="s">
        <v>51</v>
      </c>
      <c r="C108">
        <v>0.47299999999999998</v>
      </c>
      <c r="D108" t="s">
        <v>49</v>
      </c>
      <c r="E108" t="str">
        <f t="shared" ref="E108:E109" si="9">CONCATENATE(B108," ",C108," ",D108)</f>
        <v>TORNADO 0,473 PET</v>
      </c>
    </row>
    <row r="109" spans="1:5" x14ac:dyDescent="0.25">
      <c r="A109" t="s">
        <v>110</v>
      </c>
      <c r="B109" t="s">
        <v>53</v>
      </c>
      <c r="C109">
        <v>0.33</v>
      </c>
      <c r="D109" t="s">
        <v>48</v>
      </c>
      <c r="E109" t="str">
        <f t="shared" si="9"/>
        <v>TORNADO MAX 0,33 CAN</v>
      </c>
    </row>
    <row r="110" spans="1:5" x14ac:dyDescent="0.25">
      <c r="A110" t="s">
        <v>117</v>
      </c>
      <c r="B110" t="s">
        <v>50</v>
      </c>
      <c r="C110">
        <v>1</v>
      </c>
      <c r="D110" t="s">
        <v>49</v>
      </c>
      <c r="E110" t="s">
        <v>108</v>
      </c>
    </row>
    <row r="111" spans="1:5" x14ac:dyDescent="0.25">
      <c r="A111" t="s">
        <v>118</v>
      </c>
      <c r="B111" t="s">
        <v>50</v>
      </c>
      <c r="C111">
        <v>1.5</v>
      </c>
      <c r="D111" t="s">
        <v>49</v>
      </c>
      <c r="E111" t="str">
        <f t="shared" ref="E111:E112" si="10">CONCATENATE(B111," ",C111," ",D111)</f>
        <v>FRESH BAR 1,5 PET</v>
      </c>
    </row>
    <row r="112" spans="1:5" x14ac:dyDescent="0.25">
      <c r="A112" t="s">
        <v>119</v>
      </c>
      <c r="B112" t="s">
        <v>53</v>
      </c>
      <c r="C112">
        <v>0.33</v>
      </c>
      <c r="D112" t="s">
        <v>48</v>
      </c>
      <c r="E112" t="str">
        <f t="shared" si="10"/>
        <v>TORNADO MAX 0,33 CAN</v>
      </c>
    </row>
    <row r="113" spans="1:5" x14ac:dyDescent="0.25">
      <c r="A113" t="s">
        <v>122</v>
      </c>
      <c r="B113" t="s">
        <v>45</v>
      </c>
      <c r="C113">
        <v>1.5</v>
      </c>
      <c r="D113" t="s">
        <v>49</v>
      </c>
      <c r="E113" t="str">
        <f t="shared" ref="E113:E118" si="11">CONCATENATE(B113," ",C113," ",D113)</f>
        <v>COLA BY FRESH BAR 1,5 PET</v>
      </c>
    </row>
    <row r="114" spans="1:5" x14ac:dyDescent="0.25">
      <c r="A114" t="s">
        <v>119</v>
      </c>
      <c r="B114" t="s">
        <v>53</v>
      </c>
      <c r="C114">
        <v>0.33</v>
      </c>
      <c r="D114" t="s">
        <v>48</v>
      </c>
      <c r="E114" t="str">
        <f t="shared" si="11"/>
        <v>TORNADO MAX 0,33 CAN</v>
      </c>
    </row>
    <row r="115" spans="1:5" x14ac:dyDescent="0.25">
      <c r="A115" t="s">
        <v>122</v>
      </c>
      <c r="B115" t="s">
        <v>45</v>
      </c>
      <c r="C115">
        <v>1.5</v>
      </c>
      <c r="D115" t="s">
        <v>49</v>
      </c>
      <c r="E115" t="str">
        <f t="shared" si="11"/>
        <v>COLA BY FRESH BAR 1,5 PET</v>
      </c>
    </row>
    <row r="116" spans="1:5" x14ac:dyDescent="0.25">
      <c r="A116" t="s">
        <v>123</v>
      </c>
      <c r="B116" t="s">
        <v>53</v>
      </c>
      <c r="C116">
        <v>0.45</v>
      </c>
      <c r="D116" t="s">
        <v>48</v>
      </c>
      <c r="E116" t="str">
        <f t="shared" si="11"/>
        <v>TORNADO MAX 0,45 CAN</v>
      </c>
    </row>
    <row r="117" spans="1:5" x14ac:dyDescent="0.25">
      <c r="A117" t="s">
        <v>124</v>
      </c>
      <c r="B117" t="s">
        <v>53</v>
      </c>
      <c r="C117">
        <v>0.47299999999999998</v>
      </c>
      <c r="D117" t="s">
        <v>49</v>
      </c>
      <c r="E117" t="str">
        <f t="shared" si="11"/>
        <v>TORNADO MAX 0,473 PET</v>
      </c>
    </row>
    <row r="118" spans="1:5" x14ac:dyDescent="0.25">
      <c r="A118" t="s">
        <v>125</v>
      </c>
      <c r="B118" t="s">
        <v>51</v>
      </c>
      <c r="C118">
        <v>1</v>
      </c>
      <c r="D118" t="s">
        <v>49</v>
      </c>
      <c r="E118" t="str">
        <f t="shared" si="11"/>
        <v>TORNADO 1 PET</v>
      </c>
    </row>
  </sheetData>
  <autoFilter ref="A1:E11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J53"/>
  <sheetViews>
    <sheetView workbookViewId="0">
      <selection activeCell="D19" sqref="D19"/>
    </sheetView>
  </sheetViews>
  <sheetFormatPr defaultRowHeight="15" x14ac:dyDescent="0.25"/>
  <cols>
    <col min="4" max="4" width="28.28515625" customWidth="1"/>
    <col min="5" max="5" width="24.85546875" customWidth="1"/>
    <col min="7" max="7" width="35" customWidth="1"/>
    <col min="8" max="8" width="32.85546875" customWidth="1"/>
  </cols>
  <sheetData>
    <row r="1" spans="4:10" x14ac:dyDescent="0.25">
      <c r="D1" t="s">
        <v>56</v>
      </c>
      <c r="E1" t="s">
        <v>94</v>
      </c>
      <c r="F1" t="s">
        <v>95</v>
      </c>
      <c r="G1" t="s">
        <v>47</v>
      </c>
    </row>
    <row r="2" spans="4:10" x14ac:dyDescent="0.25">
      <c r="D2" t="s">
        <v>5</v>
      </c>
      <c r="E2" t="s">
        <v>55</v>
      </c>
      <c r="F2">
        <v>0.45</v>
      </c>
      <c r="G2" t="s">
        <v>48</v>
      </c>
      <c r="H2" t="str">
        <f>CONCATENATE(E2,I2,F2,I2,G2)</f>
        <v>E-ON 0,45 CAN</v>
      </c>
      <c r="I2" t="s">
        <v>96</v>
      </c>
      <c r="J2" t="str">
        <f>VLOOKUP(H2,итог!E:E,1,0)</f>
        <v>E-ON 0,45 CAN</v>
      </c>
    </row>
    <row r="3" spans="4:10" x14ac:dyDescent="0.25">
      <c r="D3" t="s">
        <v>73</v>
      </c>
      <c r="E3" t="s">
        <v>55</v>
      </c>
      <c r="F3">
        <v>0.5</v>
      </c>
      <c r="G3" t="s">
        <v>49</v>
      </c>
      <c r="H3" t="str">
        <f t="shared" ref="H3:H53" si="0">CONCATENATE(E3,I3,F3,I3,G3)</f>
        <v>E-ON 0,5 PET</v>
      </c>
      <c r="I3" t="s">
        <v>96</v>
      </c>
      <c r="J3" t="str">
        <f>VLOOKUP(H3,итог!E:E,1,0)</f>
        <v>E-ON 0,5 PET</v>
      </c>
    </row>
    <row r="4" spans="4:10" x14ac:dyDescent="0.25">
      <c r="D4" t="s">
        <v>91</v>
      </c>
      <c r="E4" t="s">
        <v>45</v>
      </c>
      <c r="F4">
        <v>0.48</v>
      </c>
      <c r="G4" t="s">
        <v>49</v>
      </c>
      <c r="H4" t="str">
        <f t="shared" si="0"/>
        <v>COLA BY FRESH BAR 0,48 PET</v>
      </c>
      <c r="I4" t="s">
        <v>96</v>
      </c>
      <c r="J4" t="str">
        <f>VLOOKUP(H4,итог!E:E,1,0)</f>
        <v>COLA BY FRESH BAR 0,48 PET</v>
      </c>
    </row>
    <row r="5" spans="4:10" x14ac:dyDescent="0.25">
      <c r="D5" t="s">
        <v>90</v>
      </c>
      <c r="E5" t="s">
        <v>45</v>
      </c>
      <c r="F5">
        <v>1.5</v>
      </c>
      <c r="G5" t="s">
        <v>49</v>
      </c>
      <c r="H5" t="str">
        <f t="shared" si="0"/>
        <v>COLA BY FRESH BAR 1,5 PET</v>
      </c>
      <c r="I5" t="s">
        <v>96</v>
      </c>
      <c r="J5" t="str">
        <f>VLOOKUP(H5,итог!E:E,1,0)</f>
        <v>COLA BY FRESH BAR 1,5 PET</v>
      </c>
    </row>
    <row r="6" spans="4:10" x14ac:dyDescent="0.25">
      <c r="D6" t="s">
        <v>89</v>
      </c>
      <c r="E6" t="s">
        <v>45</v>
      </c>
      <c r="F6">
        <v>0.45</v>
      </c>
      <c r="G6" t="s">
        <v>48</v>
      </c>
      <c r="H6" t="str">
        <f t="shared" si="0"/>
        <v>COLA BY FRESH BAR 0,45 CAN</v>
      </c>
      <c r="I6" t="s">
        <v>96</v>
      </c>
      <c r="J6" t="str">
        <f>VLOOKUP(H6,итог!E:E,1,0)</f>
        <v>COLA BY FRESH BAR 0,45 CAN</v>
      </c>
    </row>
    <row r="7" spans="4:10" x14ac:dyDescent="0.25">
      <c r="D7" t="s">
        <v>63</v>
      </c>
      <c r="E7" t="s">
        <v>50</v>
      </c>
      <c r="F7">
        <v>0.45</v>
      </c>
      <c r="G7" t="s">
        <v>48</v>
      </c>
      <c r="H7" t="str">
        <f t="shared" si="0"/>
        <v>FRESH BAR 0,45 CAN</v>
      </c>
      <c r="I7" t="s">
        <v>96</v>
      </c>
      <c r="J7" t="str">
        <f>VLOOKUP(H7,итог!E:E,1,0)</f>
        <v>FRESH BAR 0,45 CAN</v>
      </c>
    </row>
    <row r="8" spans="4:10" x14ac:dyDescent="0.25">
      <c r="D8" t="s">
        <v>87</v>
      </c>
      <c r="E8" t="s">
        <v>50</v>
      </c>
      <c r="F8">
        <v>0.45</v>
      </c>
      <c r="G8" t="s">
        <v>48</v>
      </c>
      <c r="H8" t="str">
        <f t="shared" si="0"/>
        <v>FRESH BAR 0,45 CAN</v>
      </c>
      <c r="I8" t="s">
        <v>96</v>
      </c>
      <c r="J8" t="str">
        <f>VLOOKUP(H8,итог!E:E,1,0)</f>
        <v>FRESH BAR 0,45 CAN</v>
      </c>
    </row>
    <row r="9" spans="4:10" x14ac:dyDescent="0.25">
      <c r="D9" t="s">
        <v>70</v>
      </c>
      <c r="E9" t="s">
        <v>45</v>
      </c>
      <c r="F9">
        <v>0.45</v>
      </c>
      <c r="G9" t="s">
        <v>48</v>
      </c>
      <c r="H9" t="str">
        <f t="shared" si="0"/>
        <v>COLA BY FRESH BAR 0,45 CAN</v>
      </c>
      <c r="I9" t="s">
        <v>96</v>
      </c>
      <c r="J9" t="str">
        <f>VLOOKUP(H9,итог!E:E,1,0)</f>
        <v>COLA BY FRESH BAR 0,45 CAN</v>
      </c>
    </row>
    <row r="10" spans="4:10" x14ac:dyDescent="0.25">
      <c r="D10" t="s">
        <v>64</v>
      </c>
      <c r="E10" t="s">
        <v>50</v>
      </c>
      <c r="F10">
        <v>0.48</v>
      </c>
      <c r="G10" t="s">
        <v>49</v>
      </c>
      <c r="H10" t="str">
        <f t="shared" si="0"/>
        <v>FRESH BAR 0,48 PET</v>
      </c>
      <c r="I10" t="s">
        <v>96</v>
      </c>
      <c r="J10" t="str">
        <f>VLOOKUP(H10,итог!E:E,1,0)</f>
        <v>FRESH BAR 0,48 PET</v>
      </c>
    </row>
    <row r="11" spans="4:10" x14ac:dyDescent="0.25">
      <c r="D11" t="s">
        <v>83</v>
      </c>
      <c r="E11" t="s">
        <v>50</v>
      </c>
      <c r="F11">
        <v>0.48</v>
      </c>
      <c r="G11" t="s">
        <v>49</v>
      </c>
      <c r="H11" t="str">
        <f t="shared" si="0"/>
        <v>FRESH BAR 0,48 PET</v>
      </c>
      <c r="I11" t="s">
        <v>96</v>
      </c>
      <c r="J11" t="str">
        <f>VLOOKUP(H11,итог!E:E,1,0)</f>
        <v>FRESH BAR 0,48 PET</v>
      </c>
    </row>
    <row r="12" spans="4:10" x14ac:dyDescent="0.25">
      <c r="D12" t="s">
        <v>76</v>
      </c>
      <c r="E12" t="s">
        <v>45</v>
      </c>
      <c r="F12">
        <v>0.48</v>
      </c>
      <c r="G12" t="s">
        <v>49</v>
      </c>
      <c r="H12" t="str">
        <f t="shared" si="0"/>
        <v>COLA BY FRESH BAR 0,48 PET</v>
      </c>
      <c r="I12" t="s">
        <v>96</v>
      </c>
      <c r="J12" t="str">
        <f>VLOOKUP(H12,итог!E:E,1,0)</f>
        <v>COLA BY FRESH BAR 0,48 PET</v>
      </c>
    </row>
    <row r="13" spans="4:10" x14ac:dyDescent="0.25">
      <c r="D13" t="s">
        <v>68</v>
      </c>
      <c r="E13" t="s">
        <v>50</v>
      </c>
      <c r="F13">
        <v>0.48</v>
      </c>
      <c r="G13" t="s">
        <v>49</v>
      </c>
      <c r="H13" t="str">
        <f t="shared" si="0"/>
        <v>FRESH BAR 0,48 PET</v>
      </c>
      <c r="I13" t="s">
        <v>96</v>
      </c>
      <c r="J13" t="str">
        <f>VLOOKUP(H13,итог!E:E,1,0)</f>
        <v>FRESH BAR 0,48 PET</v>
      </c>
    </row>
    <row r="14" spans="4:10" x14ac:dyDescent="0.25">
      <c r="D14" t="s">
        <v>69</v>
      </c>
      <c r="E14" t="s">
        <v>45</v>
      </c>
      <c r="F14">
        <v>0.48</v>
      </c>
      <c r="G14" t="s">
        <v>49</v>
      </c>
      <c r="H14" t="str">
        <f t="shared" si="0"/>
        <v>COLA BY FRESH BAR 0,48 PET</v>
      </c>
      <c r="I14" t="s">
        <v>96</v>
      </c>
      <c r="J14" t="str">
        <f>VLOOKUP(H14,итог!E:E,1,0)</f>
        <v>COLA BY FRESH BAR 0,48 PET</v>
      </c>
    </row>
    <row r="15" spans="4:10" x14ac:dyDescent="0.25">
      <c r="D15" t="s">
        <v>79</v>
      </c>
      <c r="E15" t="s">
        <v>50</v>
      </c>
      <c r="F15">
        <v>1.5</v>
      </c>
      <c r="G15" t="s">
        <v>49</v>
      </c>
      <c r="H15" t="str">
        <f t="shared" si="0"/>
        <v>FRESH BAR 1,5 PET</v>
      </c>
      <c r="I15" t="s">
        <v>96</v>
      </c>
      <c r="J15" t="str">
        <f>VLOOKUP(H15,итог!E:E,1,0)</f>
        <v>FRESH BAR 1,5 PET</v>
      </c>
    </row>
    <row r="16" spans="4:10" x14ac:dyDescent="0.25">
      <c r="D16" t="s">
        <v>67</v>
      </c>
      <c r="E16" t="s">
        <v>50</v>
      </c>
      <c r="F16">
        <v>1.5</v>
      </c>
      <c r="G16" t="s">
        <v>49</v>
      </c>
      <c r="H16" t="str">
        <f t="shared" si="0"/>
        <v>FRESH BAR 1,5 PET</v>
      </c>
      <c r="I16" t="s">
        <v>96</v>
      </c>
      <c r="J16" t="str">
        <f>VLOOKUP(H16,итог!E:E,1,0)</f>
        <v>FRESH BAR 1,5 PET</v>
      </c>
    </row>
    <row r="17" spans="4:10" x14ac:dyDescent="0.25">
      <c r="D17" t="s">
        <v>81</v>
      </c>
      <c r="E17" t="s">
        <v>50</v>
      </c>
      <c r="F17">
        <v>1.5</v>
      </c>
      <c r="G17" t="s">
        <v>49</v>
      </c>
      <c r="H17" t="str">
        <f t="shared" si="0"/>
        <v>FRESH BAR 1,5 PET</v>
      </c>
      <c r="I17" t="s">
        <v>96</v>
      </c>
      <c r="J17" t="str">
        <f>VLOOKUP(H17,итог!E:E,1,0)</f>
        <v>FRESH BAR 1,5 PET</v>
      </c>
    </row>
    <row r="18" spans="4:10" x14ac:dyDescent="0.25">
      <c r="D18" t="s">
        <v>78</v>
      </c>
      <c r="E18" t="s">
        <v>45</v>
      </c>
      <c r="F18">
        <v>1.5</v>
      </c>
      <c r="G18" t="s">
        <v>49</v>
      </c>
      <c r="H18" t="str">
        <f t="shared" si="0"/>
        <v>COLA BY FRESH BAR 1,5 PET</v>
      </c>
      <c r="I18" t="s">
        <v>96</v>
      </c>
      <c r="J18" t="str">
        <f>VLOOKUP(H18,итог!E:E,1,0)</f>
        <v>COLA BY FRESH BAR 1,5 PET</v>
      </c>
    </row>
    <row r="19" spans="4:10" x14ac:dyDescent="0.25">
      <c r="D19" t="s">
        <v>62</v>
      </c>
      <c r="E19" t="s">
        <v>45</v>
      </c>
      <c r="F19">
        <v>0.45</v>
      </c>
      <c r="G19" t="s">
        <v>48</v>
      </c>
      <c r="H19" t="str">
        <f t="shared" si="0"/>
        <v>COLA BY FRESH BAR 0,45 CAN</v>
      </c>
      <c r="I19" t="s">
        <v>96</v>
      </c>
      <c r="J19" t="str">
        <f>VLOOKUP(H19,итог!E:E,1,0)</f>
        <v>COLA BY FRESH BAR 0,45 CAN</v>
      </c>
    </row>
    <row r="20" spans="4:10" x14ac:dyDescent="0.25">
      <c r="D20" t="s">
        <v>88</v>
      </c>
      <c r="E20" t="s">
        <v>45</v>
      </c>
      <c r="F20">
        <v>0.45</v>
      </c>
      <c r="G20" t="s">
        <v>48</v>
      </c>
      <c r="H20" t="str">
        <f t="shared" si="0"/>
        <v>COLA BY FRESH BAR 0,45 CAN</v>
      </c>
      <c r="I20" t="s">
        <v>96</v>
      </c>
      <c r="J20" t="str">
        <f>VLOOKUP(H20,итог!E:E,1,0)</f>
        <v>COLA BY FRESH BAR 0,45 CAN</v>
      </c>
    </row>
    <row r="21" spans="4:10" x14ac:dyDescent="0.25">
      <c r="D21" t="s">
        <v>65</v>
      </c>
      <c r="E21" t="s">
        <v>45</v>
      </c>
      <c r="F21">
        <v>0.48</v>
      </c>
      <c r="G21" t="s">
        <v>49</v>
      </c>
      <c r="H21" t="str">
        <f t="shared" si="0"/>
        <v>COLA BY FRESH BAR 0,48 PET</v>
      </c>
      <c r="I21" t="s">
        <v>96</v>
      </c>
      <c r="J21" t="str">
        <f>VLOOKUP(H21,итог!E:E,1,0)</f>
        <v>COLA BY FRESH BAR 0,48 PET</v>
      </c>
    </row>
    <row r="22" spans="4:10" x14ac:dyDescent="0.25">
      <c r="D22" t="s">
        <v>74</v>
      </c>
      <c r="E22" t="s">
        <v>45</v>
      </c>
      <c r="F22">
        <v>0.48</v>
      </c>
      <c r="G22" t="s">
        <v>49</v>
      </c>
      <c r="H22" t="str">
        <f t="shared" si="0"/>
        <v>COLA BY FRESH BAR 0,48 PET</v>
      </c>
      <c r="I22" t="s">
        <v>96</v>
      </c>
      <c r="J22" t="str">
        <f>VLOOKUP(H22,итог!E:E,1,0)</f>
        <v>COLA BY FRESH BAR 0,48 PET</v>
      </c>
    </row>
    <row r="23" spans="4:10" x14ac:dyDescent="0.25">
      <c r="D23" t="s">
        <v>72</v>
      </c>
      <c r="E23" t="s">
        <v>45</v>
      </c>
      <c r="F23">
        <v>1.5</v>
      </c>
      <c r="G23" t="s">
        <v>49</v>
      </c>
      <c r="H23" t="str">
        <f t="shared" si="0"/>
        <v>COLA BY FRESH BAR 1,5 PET</v>
      </c>
      <c r="I23" t="s">
        <v>96</v>
      </c>
      <c r="J23" t="str">
        <f>VLOOKUP(H23,итог!E:E,1,0)</f>
        <v>COLA BY FRESH BAR 1,5 PET</v>
      </c>
    </row>
    <row r="24" spans="4:10" x14ac:dyDescent="0.25">
      <c r="D24" t="s">
        <v>85</v>
      </c>
      <c r="E24" t="s">
        <v>45</v>
      </c>
      <c r="F24">
        <v>0.45</v>
      </c>
      <c r="G24" t="s">
        <v>48</v>
      </c>
      <c r="H24" t="str">
        <f t="shared" si="0"/>
        <v>COLA BY FRESH BAR 0,45 CAN</v>
      </c>
      <c r="I24" t="s">
        <v>96</v>
      </c>
      <c r="J24" t="str">
        <f>VLOOKUP(H24,итог!E:E,1,0)</f>
        <v>COLA BY FRESH BAR 0,45 CAN</v>
      </c>
    </row>
    <row r="25" spans="4:10" x14ac:dyDescent="0.25">
      <c r="D25" t="s">
        <v>86</v>
      </c>
      <c r="E25" t="s">
        <v>45</v>
      </c>
      <c r="F25">
        <v>0.48</v>
      </c>
      <c r="G25" t="s">
        <v>49</v>
      </c>
      <c r="H25" t="str">
        <f t="shared" si="0"/>
        <v>COLA BY FRESH BAR 0,48 PET</v>
      </c>
      <c r="I25" t="s">
        <v>96</v>
      </c>
      <c r="J25" t="str">
        <f>VLOOKUP(H25,итог!E:E,1,0)</f>
        <v>COLA BY FRESH BAR 0,48 PET</v>
      </c>
    </row>
    <row r="26" spans="4:10" x14ac:dyDescent="0.25">
      <c r="D26" t="s">
        <v>77</v>
      </c>
      <c r="E26" t="s">
        <v>51</v>
      </c>
      <c r="F26">
        <v>0.45</v>
      </c>
      <c r="G26" t="s">
        <v>48</v>
      </c>
      <c r="H26" t="str">
        <f t="shared" si="0"/>
        <v>TORNADO 0,45 CAN</v>
      </c>
      <c r="I26" t="s">
        <v>96</v>
      </c>
      <c r="J26" t="str">
        <f>VLOOKUP(H26,итог!E:E,1,0)</f>
        <v>TORNADO 0,45 CAN</v>
      </c>
    </row>
    <row r="27" spans="4:10" x14ac:dyDescent="0.25">
      <c r="D27" t="s">
        <v>82</v>
      </c>
      <c r="E27" t="s">
        <v>51</v>
      </c>
      <c r="F27">
        <v>0.45</v>
      </c>
      <c r="G27" t="s">
        <v>48</v>
      </c>
      <c r="H27" t="str">
        <f t="shared" si="0"/>
        <v>TORNADO 0,45 CAN</v>
      </c>
      <c r="I27" t="s">
        <v>96</v>
      </c>
      <c r="J27" t="str">
        <f>VLOOKUP(H27,итог!E:E,1,0)</f>
        <v>TORNADO 0,45 CAN</v>
      </c>
    </row>
    <row r="28" spans="4:10" x14ac:dyDescent="0.25">
      <c r="D28" t="s">
        <v>80</v>
      </c>
      <c r="E28" t="s">
        <v>51</v>
      </c>
      <c r="F28">
        <v>1</v>
      </c>
      <c r="G28" t="s">
        <v>49</v>
      </c>
      <c r="H28" t="str">
        <f t="shared" si="0"/>
        <v>TORNADO 1 PET</v>
      </c>
      <c r="I28" t="s">
        <v>96</v>
      </c>
      <c r="J28" t="str">
        <f>VLOOKUP(H28,итог!E:E,1,0)</f>
        <v>TORNADO 1 PET</v>
      </c>
    </row>
    <row r="29" spans="4:10" x14ac:dyDescent="0.25">
      <c r="D29" t="s">
        <v>59</v>
      </c>
      <c r="E29" t="s">
        <v>52</v>
      </c>
      <c r="F29">
        <v>0.48</v>
      </c>
      <c r="G29" t="s">
        <v>49</v>
      </c>
      <c r="H29" t="str">
        <f t="shared" si="0"/>
        <v>ИЛ 0,48 PET</v>
      </c>
      <c r="I29" t="s">
        <v>96</v>
      </c>
      <c r="J29" t="str">
        <f>VLOOKUP(H29,итог!E:E,1,0)</f>
        <v>ИЛ 0,48 PET</v>
      </c>
    </row>
    <row r="30" spans="4:10" x14ac:dyDescent="0.25">
      <c r="D30" t="s">
        <v>75</v>
      </c>
      <c r="E30" t="s">
        <v>52</v>
      </c>
      <c r="F30">
        <v>0.48</v>
      </c>
      <c r="G30" t="s">
        <v>49</v>
      </c>
      <c r="H30" t="str">
        <f t="shared" si="0"/>
        <v>ИЛ 0,48 PET</v>
      </c>
      <c r="I30" t="s">
        <v>96</v>
      </c>
      <c r="J30" t="str">
        <f>VLOOKUP(H30,итог!E:E,1,0)</f>
        <v>ИЛ 0,48 PET</v>
      </c>
    </row>
    <row r="31" spans="4:10" x14ac:dyDescent="0.25">
      <c r="D31" t="s">
        <v>60</v>
      </c>
      <c r="E31" t="s">
        <v>52</v>
      </c>
      <c r="F31">
        <v>1.42</v>
      </c>
      <c r="G31" t="s">
        <v>49</v>
      </c>
      <c r="H31" t="str">
        <f t="shared" si="0"/>
        <v>ИЛ 1,42 PET</v>
      </c>
      <c r="I31" t="s">
        <v>96</v>
      </c>
      <c r="J31" t="str">
        <f>VLOOKUP(H31,итог!E:E,1,0)</f>
        <v>ИЛ 1,42 PET</v>
      </c>
    </row>
    <row r="32" spans="4:10" x14ac:dyDescent="0.25">
      <c r="D32" t="s">
        <v>66</v>
      </c>
      <c r="E32" t="s">
        <v>52</v>
      </c>
      <c r="F32">
        <v>1.42</v>
      </c>
      <c r="G32" t="s">
        <v>49</v>
      </c>
      <c r="H32" t="str">
        <f t="shared" si="0"/>
        <v>ИЛ 1,42 PET</v>
      </c>
      <c r="I32" t="s">
        <v>96</v>
      </c>
      <c r="J32" t="str">
        <f>VLOOKUP(H32,итог!E:E,1,0)</f>
        <v>ИЛ 1,42 PET</v>
      </c>
    </row>
    <row r="33" spans="4:10" x14ac:dyDescent="0.25">
      <c r="D33" t="s">
        <v>57</v>
      </c>
      <c r="E33" t="s">
        <v>51</v>
      </c>
      <c r="F33">
        <v>0.45</v>
      </c>
      <c r="G33" t="s">
        <v>48</v>
      </c>
      <c r="H33" t="str">
        <f t="shared" si="0"/>
        <v>TORNADO 0,45 CAN</v>
      </c>
      <c r="I33" t="s">
        <v>96</v>
      </c>
      <c r="J33" t="str">
        <f>VLOOKUP(H33,итог!E:E,1,0)</f>
        <v>TORNADO 0,45 CAN</v>
      </c>
    </row>
    <row r="34" spans="4:10" x14ac:dyDescent="0.25">
      <c r="D34" t="s">
        <v>71</v>
      </c>
      <c r="E34" t="s">
        <v>51</v>
      </c>
      <c r="F34">
        <v>0.45</v>
      </c>
      <c r="G34" t="s">
        <v>48</v>
      </c>
      <c r="H34" t="str">
        <f t="shared" si="0"/>
        <v>TORNADO 0,45 CAN</v>
      </c>
      <c r="I34" t="s">
        <v>96</v>
      </c>
      <c r="J34" t="str">
        <f>VLOOKUP(H34,итог!E:E,1,0)</f>
        <v>TORNADO 0,45 CAN</v>
      </c>
    </row>
    <row r="35" spans="4:10" x14ac:dyDescent="0.25">
      <c r="D35" t="s">
        <v>61</v>
      </c>
      <c r="E35" t="s">
        <v>53</v>
      </c>
      <c r="F35">
        <v>0.47299999999999998</v>
      </c>
      <c r="G35" t="s">
        <v>49</v>
      </c>
      <c r="H35" t="str">
        <f t="shared" si="0"/>
        <v>TORNADO MAX 0,473 PET</v>
      </c>
      <c r="I35" t="s">
        <v>96</v>
      </c>
      <c r="J35" t="str">
        <f>VLOOKUP(H35,итог!E:E,1,0)</f>
        <v>TORNADO MAX 0,473 PET</v>
      </c>
    </row>
    <row r="36" spans="4:10" x14ac:dyDescent="0.25">
      <c r="D36" t="s">
        <v>84</v>
      </c>
      <c r="E36" t="s">
        <v>53</v>
      </c>
      <c r="F36" s="4">
        <v>0.47299999999999998</v>
      </c>
      <c r="G36" t="s">
        <v>49</v>
      </c>
      <c r="H36" t="str">
        <f t="shared" si="0"/>
        <v>TORNADO MAX 0,473 PET</v>
      </c>
      <c r="I36" t="s">
        <v>96</v>
      </c>
      <c r="J36" t="str">
        <f>VLOOKUP(H36,итог!E:E,1,0)</f>
        <v>TORNADO MAX 0,473 PET</v>
      </c>
    </row>
    <row r="37" spans="4:10" x14ac:dyDescent="0.25">
      <c r="D37" t="s">
        <v>58</v>
      </c>
      <c r="E37" t="s">
        <v>51</v>
      </c>
      <c r="F37">
        <v>1</v>
      </c>
      <c r="G37" t="s">
        <v>49</v>
      </c>
      <c r="H37" t="str">
        <f t="shared" si="0"/>
        <v>TORNADO 1 PET</v>
      </c>
      <c r="I37" t="s">
        <v>96</v>
      </c>
      <c r="J37" t="str">
        <f>VLOOKUP(H37,итог!E:E,1,0)</f>
        <v>TORNADO 1 PET</v>
      </c>
    </row>
    <row r="38" spans="4:10" x14ac:dyDescent="0.25">
      <c r="D38" t="s">
        <v>92</v>
      </c>
      <c r="E38" t="s">
        <v>53</v>
      </c>
      <c r="F38">
        <v>0.45</v>
      </c>
      <c r="G38" t="s">
        <v>48</v>
      </c>
      <c r="H38" t="str">
        <f t="shared" si="0"/>
        <v>TORNADO MAX 0,45 CAN</v>
      </c>
      <c r="I38" t="s">
        <v>96</v>
      </c>
      <c r="J38" t="str">
        <f>VLOOKUP(H38,итог!E:E,1,0)</f>
        <v>TORNADO MAX 0,45 CAN</v>
      </c>
    </row>
    <row r="39" spans="4:10" x14ac:dyDescent="0.25">
      <c r="D39" t="s">
        <v>93</v>
      </c>
      <c r="E39" t="s">
        <v>51</v>
      </c>
      <c r="F39">
        <v>0.45</v>
      </c>
      <c r="G39" t="s">
        <v>48</v>
      </c>
      <c r="H39" t="str">
        <f t="shared" si="0"/>
        <v>TORNADO 0,45 CAN</v>
      </c>
      <c r="I39" t="s">
        <v>96</v>
      </c>
      <c r="J39" t="str">
        <f>VLOOKUP(H39,итог!E:E,1,0)</f>
        <v>TORNADO 0,45 CAN</v>
      </c>
    </row>
    <row r="40" spans="4:10" x14ac:dyDescent="0.25">
      <c r="D40" t="s">
        <v>10</v>
      </c>
      <c r="E40" t="s">
        <v>51</v>
      </c>
      <c r="F40">
        <v>0.45</v>
      </c>
      <c r="G40" t="s">
        <v>48</v>
      </c>
      <c r="H40" t="str">
        <f t="shared" si="0"/>
        <v>TORNADO 0,45 CAN</v>
      </c>
      <c r="I40" t="s">
        <v>96</v>
      </c>
      <c r="J40" t="str">
        <f>VLOOKUP(H40,итог!E:E,1,0)</f>
        <v>TORNADO 0,45 CAN</v>
      </c>
    </row>
    <row r="41" spans="4:10" x14ac:dyDescent="0.25">
      <c r="D41" t="s">
        <v>12</v>
      </c>
      <c r="E41" t="s">
        <v>51</v>
      </c>
      <c r="F41">
        <v>1</v>
      </c>
      <c r="G41" t="s">
        <v>49</v>
      </c>
      <c r="H41" t="str">
        <f t="shared" si="0"/>
        <v>TORNADO 1 PET</v>
      </c>
      <c r="I41" t="s">
        <v>96</v>
      </c>
      <c r="J41" t="str">
        <f>VLOOKUP(H41,итог!E:E,1,0)</f>
        <v>TORNADO 1 PET</v>
      </c>
    </row>
    <row r="42" spans="4:10" x14ac:dyDescent="0.25">
      <c r="D42" t="s">
        <v>11</v>
      </c>
      <c r="E42" t="s">
        <v>53</v>
      </c>
      <c r="F42">
        <v>0.47299999999999998</v>
      </c>
      <c r="G42" t="s">
        <v>49</v>
      </c>
      <c r="H42" t="str">
        <f t="shared" si="0"/>
        <v>TORNADO MAX 0,473 PET</v>
      </c>
      <c r="I42" t="s">
        <v>96</v>
      </c>
      <c r="J42" t="str">
        <f>VLOOKUP(H42,итог!E:E,1,0)</f>
        <v>TORNADO MAX 0,473 PET</v>
      </c>
    </row>
    <row r="43" spans="4:10" x14ac:dyDescent="0.25">
      <c r="D43" t="s">
        <v>8</v>
      </c>
      <c r="E43" t="s">
        <v>50</v>
      </c>
      <c r="F43">
        <v>0.48</v>
      </c>
      <c r="G43" t="s">
        <v>49</v>
      </c>
      <c r="H43" t="str">
        <f t="shared" si="0"/>
        <v>FRESH BAR 0,48 PET</v>
      </c>
      <c r="I43" t="s">
        <v>96</v>
      </c>
      <c r="J43" t="str">
        <f>VLOOKUP(H43,итог!E:E,1,0)</f>
        <v>FRESH BAR 0,48 PET</v>
      </c>
    </row>
    <row r="44" spans="4:10" x14ac:dyDescent="0.25">
      <c r="D44" t="s">
        <v>15</v>
      </c>
      <c r="E44" t="s">
        <v>52</v>
      </c>
      <c r="F44">
        <v>1.42</v>
      </c>
      <c r="G44" t="s">
        <v>49</v>
      </c>
      <c r="H44" t="str">
        <f t="shared" si="0"/>
        <v>ИЛ 1,42 PET</v>
      </c>
      <c r="I44" t="s">
        <v>96</v>
      </c>
      <c r="J44" t="str">
        <f>VLOOKUP(H44,итог!E:E,1,0)</f>
        <v>ИЛ 1,42 PET</v>
      </c>
    </row>
    <row r="45" spans="4:10" x14ac:dyDescent="0.25">
      <c r="D45" t="s">
        <v>14</v>
      </c>
      <c r="E45" t="s">
        <v>52</v>
      </c>
      <c r="F45">
        <v>0.48</v>
      </c>
      <c r="G45" t="s">
        <v>49</v>
      </c>
      <c r="H45" t="str">
        <f t="shared" si="0"/>
        <v>ИЛ 0,48 PET</v>
      </c>
      <c r="I45" t="s">
        <v>96</v>
      </c>
      <c r="J45" t="str">
        <f>VLOOKUP(H45,итог!E:E,1,0)</f>
        <v>ИЛ 0,48 PET</v>
      </c>
    </row>
    <row r="46" spans="4:10" x14ac:dyDescent="0.25">
      <c r="D46" t="s">
        <v>30</v>
      </c>
      <c r="E46" t="s">
        <v>45</v>
      </c>
      <c r="F46">
        <v>0.48</v>
      </c>
      <c r="G46" t="s">
        <v>49</v>
      </c>
      <c r="H46" t="str">
        <f t="shared" si="0"/>
        <v>COLA BY FRESH BAR 0,48 PET</v>
      </c>
      <c r="I46" t="s">
        <v>96</v>
      </c>
      <c r="J46" t="str">
        <f>VLOOKUP(H46,итог!E:E,1,0)</f>
        <v>COLA BY FRESH BAR 0,48 PET</v>
      </c>
    </row>
    <row r="47" spans="4:10" x14ac:dyDescent="0.25">
      <c r="D47" t="s">
        <v>7</v>
      </c>
      <c r="E47" t="s">
        <v>50</v>
      </c>
      <c r="F47">
        <v>0.45</v>
      </c>
      <c r="G47" t="s">
        <v>48</v>
      </c>
      <c r="H47" t="str">
        <f t="shared" si="0"/>
        <v>FRESH BAR 0,45 CAN</v>
      </c>
      <c r="I47" t="s">
        <v>96</v>
      </c>
      <c r="J47" t="str">
        <f>VLOOKUP(H47,итог!E:E,1,0)</f>
        <v>FRESH BAR 0,45 CAN</v>
      </c>
    </row>
    <row r="48" spans="4:10" x14ac:dyDescent="0.25">
      <c r="D48" t="s">
        <v>9</v>
      </c>
      <c r="E48" t="s">
        <v>50</v>
      </c>
      <c r="F48">
        <v>1.5</v>
      </c>
      <c r="G48" t="s">
        <v>49</v>
      </c>
      <c r="H48" t="str">
        <f t="shared" si="0"/>
        <v>FRESH BAR 1,5 PET</v>
      </c>
      <c r="I48" t="s">
        <v>96</v>
      </c>
      <c r="J48" t="str">
        <f>VLOOKUP(H48,итог!E:E,1,0)</f>
        <v>FRESH BAR 1,5 PET</v>
      </c>
    </row>
    <row r="49" spans="4:10" x14ac:dyDescent="0.25">
      <c r="D49" t="s">
        <v>31</v>
      </c>
      <c r="E49" t="s">
        <v>45</v>
      </c>
      <c r="F49">
        <v>1.5</v>
      </c>
      <c r="G49" t="s">
        <v>49</v>
      </c>
      <c r="H49" t="str">
        <f t="shared" si="0"/>
        <v>COLA BY FRESH BAR 1,5 PET</v>
      </c>
      <c r="I49" t="s">
        <v>96</v>
      </c>
      <c r="J49" t="str">
        <f>VLOOKUP(H49,итог!E:E,1,0)</f>
        <v>COLA BY FRESH BAR 1,5 PET</v>
      </c>
    </row>
    <row r="50" spans="4:10" x14ac:dyDescent="0.25">
      <c r="D50" t="s">
        <v>33</v>
      </c>
      <c r="E50" t="s">
        <v>45</v>
      </c>
      <c r="F50">
        <v>0.45</v>
      </c>
      <c r="G50" t="s">
        <v>48</v>
      </c>
      <c r="H50" t="str">
        <f t="shared" si="0"/>
        <v>COLA BY FRESH BAR 0,45 CAN</v>
      </c>
      <c r="I50" t="s">
        <v>96</v>
      </c>
      <c r="J50" t="str">
        <f>VLOOKUP(H50,итог!E:E,1,0)</f>
        <v>COLA BY FRESH BAR 0,45 CAN</v>
      </c>
    </row>
    <row r="51" spans="4:10" x14ac:dyDescent="0.25">
      <c r="D51" t="s">
        <v>42</v>
      </c>
      <c r="E51" t="s">
        <v>53</v>
      </c>
      <c r="F51">
        <v>0.45</v>
      </c>
      <c r="G51" t="s">
        <v>48</v>
      </c>
      <c r="H51" t="str">
        <f t="shared" si="0"/>
        <v>TORNADO MAX 0,45 CAN</v>
      </c>
      <c r="I51" t="s">
        <v>96</v>
      </c>
      <c r="J51" t="str">
        <f>VLOOKUP(H51,итог!E:E,1,0)</f>
        <v>TORNADO MAX 0,45 CAN</v>
      </c>
    </row>
    <row r="52" spans="4:10" x14ac:dyDescent="0.25">
      <c r="D52" t="s">
        <v>34</v>
      </c>
      <c r="E52" t="s">
        <v>50</v>
      </c>
      <c r="F52">
        <v>1</v>
      </c>
      <c r="G52" t="s">
        <v>49</v>
      </c>
      <c r="H52" t="str">
        <f t="shared" si="0"/>
        <v>FRESH BAR 1 PET</v>
      </c>
      <c r="I52" t="s">
        <v>96</v>
      </c>
      <c r="J52" t="str">
        <f>VLOOKUP(H52,итог!E:E,1,0)</f>
        <v>FRESH BAR 1 PET</v>
      </c>
    </row>
    <row r="53" spans="4:10" x14ac:dyDescent="0.25">
      <c r="D53" t="s">
        <v>43</v>
      </c>
      <c r="E53" t="s">
        <v>53</v>
      </c>
      <c r="F53">
        <v>0.47299999999999998</v>
      </c>
      <c r="G53" t="s">
        <v>49</v>
      </c>
      <c r="H53" t="str">
        <f t="shared" si="0"/>
        <v>TORNADO MAX 0,473 PET</v>
      </c>
      <c r="I53" t="s">
        <v>96</v>
      </c>
      <c r="J53" t="str">
        <f>VLOOKUP(H53,итог!E:E,1,0)</f>
        <v>TORNADO MAX 0,473 PET</v>
      </c>
    </row>
  </sheetData>
  <autoFilter ref="D1:H5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sqref="A1:A22"/>
    </sheetView>
  </sheetViews>
  <sheetFormatPr defaultRowHeight="15" x14ac:dyDescent="0.25"/>
  <cols>
    <col min="1" max="1" width="23" bestFit="1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workbookViewId="0">
      <selection sqref="A1:A21"/>
    </sheetView>
  </sheetViews>
  <sheetFormatPr defaultRowHeight="15" x14ac:dyDescent="0.25"/>
  <cols>
    <col min="1" max="1" width="24.28515625" bestFit="1" customWidth="1"/>
  </cols>
  <sheetData>
    <row r="1" spans="1:1" x14ac:dyDescent="0.25">
      <c r="A1" s="1" t="s">
        <v>0</v>
      </c>
    </row>
    <row r="2" spans="1:1" x14ac:dyDescent="0.25">
      <c r="A2" s="1" t="s">
        <v>5</v>
      </c>
    </row>
    <row r="3" spans="1:1" x14ac:dyDescent="0.25">
      <c r="A3" s="1" t="s">
        <v>8</v>
      </c>
    </row>
    <row r="4" spans="1:1" x14ac:dyDescent="0.25">
      <c r="A4" s="1" t="s">
        <v>10</v>
      </c>
    </row>
    <row r="5" spans="1:1" x14ac:dyDescent="0.25">
      <c r="A5" s="1" t="s">
        <v>11</v>
      </c>
    </row>
    <row r="6" spans="1:1" x14ac:dyDescent="0.25">
      <c r="A6" s="1" t="s">
        <v>12</v>
      </c>
    </row>
    <row r="7" spans="1:1" x14ac:dyDescent="0.25">
      <c r="A7" s="1" t="s">
        <v>13</v>
      </c>
    </row>
    <row r="8" spans="1:1" x14ac:dyDescent="0.25">
      <c r="A8" s="1" t="s">
        <v>6</v>
      </c>
    </row>
    <row r="9" spans="1:1" x14ac:dyDescent="0.25">
      <c r="A9" s="1" t="s">
        <v>9</v>
      </c>
    </row>
    <row r="10" spans="1:1" x14ac:dyDescent="0.25">
      <c r="A10" s="1" t="s">
        <v>15</v>
      </c>
    </row>
    <row r="11" spans="1:1" x14ac:dyDescent="0.25">
      <c r="A11" s="1" t="s">
        <v>7</v>
      </c>
    </row>
    <row r="12" spans="1:1" x14ac:dyDescent="0.25">
      <c r="A12" s="1" t="s">
        <v>2</v>
      </c>
    </row>
    <row r="13" spans="1:1" x14ac:dyDescent="0.25">
      <c r="A13" s="1" t="s">
        <v>3</v>
      </c>
    </row>
    <row r="14" spans="1:1" x14ac:dyDescent="0.25">
      <c r="A14" s="1" t="s">
        <v>1</v>
      </c>
    </row>
    <row r="15" spans="1:1" x14ac:dyDescent="0.25">
      <c r="A15" s="1" t="s">
        <v>22</v>
      </c>
    </row>
    <row r="16" spans="1:1" x14ac:dyDescent="0.25">
      <c r="A16" s="1" t="s">
        <v>23</v>
      </c>
    </row>
    <row r="17" spans="1:1" x14ac:dyDescent="0.25">
      <c r="A17" s="1" t="s">
        <v>24</v>
      </c>
    </row>
    <row r="18" spans="1:1" x14ac:dyDescent="0.25">
      <c r="A18" s="1" t="s">
        <v>25</v>
      </c>
    </row>
    <row r="19" spans="1:1" x14ac:dyDescent="0.25">
      <c r="A19" s="1" t="s">
        <v>26</v>
      </c>
    </row>
    <row r="20" spans="1:1" x14ac:dyDescent="0.25">
      <c r="A20" s="1" t="s">
        <v>27</v>
      </c>
    </row>
    <row r="21" spans="1:1" x14ac:dyDescent="0.25">
      <c r="A21" s="1" t="s">
        <v>14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Views>
    <sheetView workbookViewId="0">
      <selection sqref="A1:A17"/>
    </sheetView>
  </sheetViews>
  <sheetFormatPr defaultRowHeight="15" x14ac:dyDescent="0.25"/>
  <cols>
    <col min="1" max="1" width="17.7109375" bestFit="1" customWidth="1"/>
  </cols>
  <sheetData>
    <row r="1" spans="1:1" x14ac:dyDescent="0.25">
      <c r="A1" s="1" t="s">
        <v>0</v>
      </c>
    </row>
    <row r="2" spans="1:1" x14ac:dyDescent="0.25">
      <c r="A2" s="1" t="s">
        <v>11</v>
      </c>
    </row>
    <row r="3" spans="1:1" x14ac:dyDescent="0.25">
      <c r="A3" s="1" t="s">
        <v>10</v>
      </c>
    </row>
    <row r="4" spans="1:1" x14ac:dyDescent="0.25">
      <c r="A4" s="1" t="s">
        <v>29</v>
      </c>
    </row>
    <row r="5" spans="1:1" x14ac:dyDescent="0.25">
      <c r="A5" s="1" t="s">
        <v>12</v>
      </c>
    </row>
    <row r="6" spans="1:1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1" t="s">
        <v>8</v>
      </c>
    </row>
    <row r="9" spans="1:1" x14ac:dyDescent="0.25">
      <c r="A9" s="1" t="s">
        <v>14</v>
      </c>
    </row>
    <row r="10" spans="1:1" x14ac:dyDescent="0.25">
      <c r="A10" s="1" t="s">
        <v>9</v>
      </c>
    </row>
    <row r="11" spans="1:1" x14ac:dyDescent="0.25">
      <c r="A11" s="1" t="s">
        <v>7</v>
      </c>
    </row>
    <row r="12" spans="1:1" x14ac:dyDescent="0.25">
      <c r="A12" s="1" t="s">
        <v>15</v>
      </c>
    </row>
    <row r="13" spans="1:1" x14ac:dyDescent="0.25">
      <c r="A13" s="1" t="s">
        <v>30</v>
      </c>
    </row>
    <row r="14" spans="1:1" x14ac:dyDescent="0.25">
      <c r="A14" s="1" t="s">
        <v>31</v>
      </c>
    </row>
    <row r="15" spans="1:1" x14ac:dyDescent="0.25">
      <c r="A15" s="1" t="s">
        <v>32</v>
      </c>
    </row>
    <row r="16" spans="1:1" x14ac:dyDescent="0.25">
      <c r="A16" s="1" t="s">
        <v>33</v>
      </c>
    </row>
    <row r="17" spans="1:1" x14ac:dyDescent="0.25">
      <c r="A17" s="1" t="s">
        <v>34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>
      <selection activeCell="F33" sqref="F33"/>
    </sheetView>
  </sheetViews>
  <sheetFormatPr defaultRowHeight="15" x14ac:dyDescent="0.25"/>
  <cols>
    <col min="1" max="1" width="33" bestFit="1" customWidth="1"/>
  </cols>
  <sheetData>
    <row r="1" spans="1:1" x14ac:dyDescent="0.25">
      <c r="A1" s="1" t="s">
        <v>0</v>
      </c>
    </row>
    <row r="2" spans="1:1" x14ac:dyDescent="0.25">
      <c r="A2" s="1" t="s">
        <v>5</v>
      </c>
    </row>
    <row r="3" spans="1:1" x14ac:dyDescent="0.25">
      <c r="A3" s="1" t="s">
        <v>7</v>
      </c>
    </row>
    <row r="4" spans="1:1" x14ac:dyDescent="0.25">
      <c r="A4" s="1" t="s">
        <v>8</v>
      </c>
    </row>
    <row r="5" spans="1:1" x14ac:dyDescent="0.25">
      <c r="A5" s="1" t="s">
        <v>9</v>
      </c>
    </row>
    <row r="6" spans="1:1" x14ac:dyDescent="0.25">
      <c r="A6" s="1" t="s">
        <v>2</v>
      </c>
    </row>
    <row r="7" spans="1:1" x14ac:dyDescent="0.25">
      <c r="A7" s="1" t="s">
        <v>33</v>
      </c>
    </row>
    <row r="8" spans="1:1" x14ac:dyDescent="0.25">
      <c r="A8" s="1" t="s">
        <v>3</v>
      </c>
    </row>
    <row r="9" spans="1:1" x14ac:dyDescent="0.25">
      <c r="A9" s="1" t="s">
        <v>11</v>
      </c>
    </row>
    <row r="10" spans="1:1" x14ac:dyDescent="0.25">
      <c r="A10" s="1" t="s">
        <v>12</v>
      </c>
    </row>
    <row r="11" spans="1:1" x14ac:dyDescent="0.25">
      <c r="A11" s="1" t="s">
        <v>10</v>
      </c>
    </row>
    <row r="12" spans="1:1" x14ac:dyDescent="0.25">
      <c r="A12" s="1" t="s">
        <v>14</v>
      </c>
    </row>
    <row r="13" spans="1:1" x14ac:dyDescent="0.25">
      <c r="A13" s="1" t="s">
        <v>15</v>
      </c>
    </row>
    <row r="14" spans="1:1" x14ac:dyDescent="0.25">
      <c r="A14" s="1" t="s">
        <v>35</v>
      </c>
    </row>
    <row r="15" spans="1:1" x14ac:dyDescent="0.25">
      <c r="A15" s="1" t="s">
        <v>30</v>
      </c>
    </row>
    <row r="16" spans="1:1" x14ac:dyDescent="0.25">
      <c r="A16" s="1" t="s">
        <v>31</v>
      </c>
    </row>
    <row r="17" spans="1:1" x14ac:dyDescent="0.25">
      <c r="A17" s="1" t="s">
        <v>34</v>
      </c>
    </row>
    <row r="18" spans="1:1" x14ac:dyDescent="0.25">
      <c r="A18" s="1" t="s">
        <v>36</v>
      </c>
    </row>
    <row r="19" spans="1:1" x14ac:dyDescent="0.25">
      <c r="A19" s="1" t="s">
        <v>37</v>
      </c>
    </row>
    <row r="20" spans="1:1" x14ac:dyDescent="0.25">
      <c r="A20" s="1" t="s">
        <v>38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>
      <selection sqref="A1:A20"/>
    </sheetView>
  </sheetViews>
  <sheetFormatPr defaultRowHeight="15" x14ac:dyDescent="0.25"/>
  <cols>
    <col min="1" max="1" width="21.85546875" bestFit="1" customWidth="1"/>
  </cols>
  <sheetData>
    <row r="1" spans="1:1" x14ac:dyDescent="0.25">
      <c r="A1" s="1" t="s">
        <v>0</v>
      </c>
    </row>
    <row r="2" spans="1:1" x14ac:dyDescent="0.25">
      <c r="A2" s="1" t="s">
        <v>10</v>
      </c>
    </row>
    <row r="3" spans="1:1" x14ac:dyDescent="0.25">
      <c r="A3" s="1" t="s">
        <v>8</v>
      </c>
    </row>
    <row r="4" spans="1:1" x14ac:dyDescent="0.25">
      <c r="A4" s="1" t="s">
        <v>39</v>
      </c>
    </row>
    <row r="5" spans="1:1" x14ac:dyDescent="0.25">
      <c r="A5" s="1" t="s">
        <v>12</v>
      </c>
    </row>
    <row r="6" spans="1:1" x14ac:dyDescent="0.25">
      <c r="A6" s="1" t="s">
        <v>14</v>
      </c>
    </row>
    <row r="7" spans="1:1" x14ac:dyDescent="0.25">
      <c r="A7" s="1" t="s">
        <v>11</v>
      </c>
    </row>
    <row r="8" spans="1:1" x14ac:dyDescent="0.25">
      <c r="A8" s="1" t="s">
        <v>30</v>
      </c>
    </row>
    <row r="9" spans="1:1" x14ac:dyDescent="0.25">
      <c r="A9" s="1" t="s">
        <v>7</v>
      </c>
    </row>
    <row r="10" spans="1:1" x14ac:dyDescent="0.25">
      <c r="A10" s="1" t="s">
        <v>40</v>
      </c>
    </row>
    <row r="11" spans="1:1" x14ac:dyDescent="0.25">
      <c r="A11" s="1" t="s">
        <v>9</v>
      </c>
    </row>
    <row r="12" spans="1:1" x14ac:dyDescent="0.25">
      <c r="A12" s="1" t="s">
        <v>33</v>
      </c>
    </row>
    <row r="13" spans="1:1" x14ac:dyDescent="0.25">
      <c r="A13" s="1" t="s">
        <v>15</v>
      </c>
    </row>
    <row r="14" spans="1:1" x14ac:dyDescent="0.25">
      <c r="A14" s="1" t="s">
        <v>41</v>
      </c>
    </row>
    <row r="15" spans="1:1" x14ac:dyDescent="0.25">
      <c r="A15" s="1" t="s">
        <v>16</v>
      </c>
    </row>
    <row r="16" spans="1:1" x14ac:dyDescent="0.25">
      <c r="A16" s="1" t="s">
        <v>36</v>
      </c>
    </row>
    <row r="17" spans="1:1" x14ac:dyDescent="0.25">
      <c r="A17" s="1" t="s">
        <v>5</v>
      </c>
    </row>
    <row r="18" spans="1:1" x14ac:dyDescent="0.25">
      <c r="A18" s="1" t="s">
        <v>31</v>
      </c>
    </row>
    <row r="19" spans="1:1" x14ac:dyDescent="0.25">
      <c r="A19" s="1" t="s">
        <v>37</v>
      </c>
    </row>
    <row r="20" spans="1:1" x14ac:dyDescent="0.25">
      <c r="A20" s="1" t="s">
        <v>20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Views>
    <sheetView workbookViewId="0">
      <selection sqref="A1:A18"/>
    </sheetView>
  </sheetViews>
  <sheetFormatPr defaultRowHeight="15" x14ac:dyDescent="0.25"/>
  <cols>
    <col min="1" max="1" width="21.5703125" bestFit="1" customWidth="1"/>
  </cols>
  <sheetData>
    <row r="1" spans="1:1" x14ac:dyDescent="0.25">
      <c r="A1" s="1" t="s">
        <v>0</v>
      </c>
    </row>
    <row r="2" spans="1:1" x14ac:dyDescent="0.25">
      <c r="A2" s="1" t="s">
        <v>39</v>
      </c>
    </row>
    <row r="3" spans="1:1" x14ac:dyDescent="0.25">
      <c r="A3" s="1" t="s">
        <v>10</v>
      </c>
    </row>
    <row r="4" spans="1:1" x14ac:dyDescent="0.25">
      <c r="A4" s="1" t="s">
        <v>12</v>
      </c>
    </row>
    <row r="5" spans="1:1" x14ac:dyDescent="0.25">
      <c r="A5" s="1" t="s">
        <v>14</v>
      </c>
    </row>
    <row r="6" spans="1:1" x14ac:dyDescent="0.25">
      <c r="A6" s="1" t="s">
        <v>15</v>
      </c>
    </row>
    <row r="7" spans="1:1" x14ac:dyDescent="0.25">
      <c r="A7" s="1" t="s">
        <v>11</v>
      </c>
    </row>
    <row r="8" spans="1:1" x14ac:dyDescent="0.25">
      <c r="A8" s="1" t="s">
        <v>33</v>
      </c>
    </row>
    <row r="9" spans="1:1" x14ac:dyDescent="0.25">
      <c r="A9" s="1" t="s">
        <v>7</v>
      </c>
    </row>
    <row r="10" spans="1:1" x14ac:dyDescent="0.25">
      <c r="A10" s="1" t="s">
        <v>8</v>
      </c>
    </row>
    <row r="11" spans="1:1" x14ac:dyDescent="0.25">
      <c r="A11" s="1" t="s">
        <v>30</v>
      </c>
    </row>
    <row r="12" spans="1:1" x14ac:dyDescent="0.25">
      <c r="A12" s="1" t="s">
        <v>9</v>
      </c>
    </row>
    <row r="13" spans="1:1" x14ac:dyDescent="0.25">
      <c r="A13" s="1" t="s">
        <v>31</v>
      </c>
    </row>
    <row r="14" spans="1:1" x14ac:dyDescent="0.25">
      <c r="A14" s="1" t="s">
        <v>16</v>
      </c>
    </row>
    <row r="15" spans="1:1" x14ac:dyDescent="0.25">
      <c r="A15" s="1" t="s">
        <v>5</v>
      </c>
    </row>
    <row r="16" spans="1:1" x14ac:dyDescent="0.25">
      <c r="A16" s="1" t="s">
        <v>42</v>
      </c>
    </row>
    <row r="17" spans="1:1" x14ac:dyDescent="0.25">
      <c r="A17" s="1" t="s">
        <v>34</v>
      </c>
    </row>
    <row r="18" spans="1:1" x14ac:dyDescent="0.25">
      <c r="A18" s="1" t="s">
        <v>43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566336-B5C4-4C57-9FD3-5B91294803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итог</vt:lpstr>
      <vt:lpstr>Лист1</vt:lpstr>
      <vt:lpstr>Лист2</vt:lpstr>
      <vt:lpstr>ecp data</vt:lpstr>
      <vt:lpstr>себес</vt:lpstr>
      <vt:lpstr>sales</vt:lpstr>
      <vt:lpstr>цм</vt:lpstr>
      <vt:lpstr>в цене</vt:lpstr>
      <vt:lpstr>вне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2026-02-16T11:03:09Z</dcterms:modified>
</cp:coreProperties>
</file>